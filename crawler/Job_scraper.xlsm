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3C1299DB-A6DF-4A47-99A0-E2267986F1F2}" xr6:coauthVersionLast="47" xr6:coauthVersionMax="47" xr10:uidLastSave="{00000000-0000-0000-0000-000000000000}"/>
  <bookViews>
    <workbookView xWindow="0" yWindow="0" windowWidth="25800" windowHeight="21150" activeTab="4" xr2:uid="{00000000-000D-0000-FFFF-FFFF00000000}"/>
  </bookViews>
  <sheets>
    <sheet name="index" sheetId="4" r:id="rId1"/>
    <sheet name="setting" sheetId="1" r:id="rId2"/>
    <sheet name="職缺" sheetId="2" r:id="rId3"/>
    <sheet name="人力" sheetId="3" r:id="rId4"/>
    <sheet name="TEMP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<sst xmlns="http://schemas.openxmlformats.org/spreadsheetml/2006/main" count="547" uniqueCount="283">
  <si>
    <t>關鍵字</t>
    <phoneticPr fontId="1" type="noConversion"/>
  </si>
  <si>
    <t>地區</t>
    <phoneticPr fontId="1" type="noConversion"/>
  </si>
  <si>
    <t>職務類別</t>
    <phoneticPr fontId="1" type="noConversion"/>
  </si>
  <si>
    <t>職安管理員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</si>
  <si>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</si>
  <si>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</si>
  <si>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</si>
  <si>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</si>
  <si>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</si>
  <si>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</si>
  <si>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</si>
  <si>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</si>
  <si>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</si>
  <si>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</si>
  <si>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</si>
  <si>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</si>
  <si>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</si>
  <si>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</si>
  <si>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</si>
  <si>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</si>
  <si>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</si>
  <si>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</si>
  <si>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</si>
  <si>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2009004008</t>
    <phoneticPr fontId="1" type="noConversion"/>
  </si>
  <si>
    <t>6001001000,6001002000</t>
    <phoneticPr fontId="1" type="noConversion"/>
  </si>
  <si>
    <t>新北市新店區</t>
    <phoneticPr fontId="1" type="noConversion"/>
  </si>
  <si>
    <t>月薪</t>
    <phoneticPr fontId="1" type="noConversion"/>
  </si>
  <si>
    <t>新店區</t>
    <phoneticPr fontId="1" type="noConversion"/>
  </si>
  <si>
    <t>新北市中和區</t>
    <phoneticPr fontId="1" type="noConversion"/>
  </si>
  <si>
    <t>中和區</t>
    <phoneticPr fontId="1" type="noConversion"/>
  </si>
  <si>
    <t>新北市板橋區</t>
    <phoneticPr fontId="1" type="noConversion"/>
  </si>
  <si>
    <t>待遇面議</t>
    <phoneticPr fontId="1" type="noConversion"/>
  </si>
  <si>
    <t>面議</t>
    <phoneticPr fontId="1" type="noConversion"/>
  </si>
  <si>
    <t>板橋區</t>
    <phoneticPr fontId="1" type="noConversion"/>
  </si>
  <si>
    <t>台北市松山區</t>
    <phoneticPr fontId="1" type="noConversion"/>
  </si>
  <si>
    <t>松山區</t>
    <phoneticPr fontId="1" type="noConversion"/>
  </si>
  <si>
    <t>新北市五股區</t>
    <phoneticPr fontId="1" type="noConversion"/>
  </si>
  <si>
    <t>五股區</t>
    <phoneticPr fontId="1" type="noConversion"/>
  </si>
  <si>
    <t>新北市淡水區</t>
    <phoneticPr fontId="1" type="noConversion"/>
  </si>
  <si>
    <t>淡水區</t>
    <phoneticPr fontId="1" type="noConversion"/>
  </si>
  <si>
    <t>Aunt Stella_詩特莉食品股份有限公司</t>
    <phoneticPr fontId="1" type="noConversion"/>
  </si>
  <si>
    <t>月薪36,000~38,000元</t>
    <phoneticPr fontId="1" type="noConversion"/>
  </si>
  <si>
    <t>新北市三重區</t>
    <phoneticPr fontId="1" type="noConversion"/>
  </si>
  <si>
    <t>月薪35,000~45,000元</t>
    <phoneticPr fontId="1" type="noConversion"/>
  </si>
  <si>
    <t>三重區</t>
    <phoneticPr fontId="1" type="noConversion"/>
  </si>
  <si>
    <t>月薪32,000~35,000元</t>
    <phoneticPr fontId="1" type="noConversion"/>
  </si>
  <si>
    <t>職缺名稱</t>
    <phoneticPr fontId="1" type="noConversion"/>
  </si>
  <si>
    <t>職缺連結</t>
    <phoneticPr fontId="1" type="noConversion"/>
  </si>
  <si>
    <t>公司名稱</t>
    <phoneticPr fontId="1" type="noConversion"/>
  </si>
  <si>
    <t>工作地區</t>
    <phoneticPr fontId="1" type="noConversion"/>
  </si>
  <si>
    <t>薪資待遇</t>
    <phoneticPr fontId="1" type="noConversion"/>
  </si>
  <si>
    <t>給薪方式</t>
    <phoneticPr fontId="1" type="noConversion"/>
  </si>
  <si>
    <t>薪資下界</t>
    <phoneticPr fontId="1" type="noConversion"/>
  </si>
  <si>
    <t>薪資上界</t>
    <phoneticPr fontId="1" type="noConversion"/>
  </si>
  <si>
    <t>平均薪資</t>
    <phoneticPr fontId="1" type="noConversion"/>
  </si>
  <si>
    <t>縣市</t>
    <phoneticPr fontId="1" type="noConversion"/>
  </si>
  <si>
    <t>鄉鎮市區</t>
    <phoneticPr fontId="1" type="noConversion"/>
  </si>
  <si>
    <t>【一蘭拉麵】職業安全衛生管理員</t>
    <phoneticPr fontId="1" type="noConversion"/>
  </si>
  <si>
    <t>https://www.104.com.tw/job/7xs4o?jobsource=hotjob_chr_exp</t>
    <phoneticPr fontId="1" type="noConversion"/>
  </si>
  <si>
    <t>一蘭拉麵_香港商一蘭有限公司台灣分公司</t>
    <phoneticPr fontId="1" type="noConversion"/>
  </si>
  <si>
    <t>台北市信義區</t>
    <phoneticPr fontId="1" type="noConversion"/>
  </si>
  <si>
    <t>月薪45,000元以上</t>
    <phoneticPr fontId="1" type="noConversion"/>
  </si>
  <si>
    <t>信義區</t>
    <phoneticPr fontId="1" type="noConversion"/>
  </si>
  <si>
    <t>職業安全衛生專員</t>
    <phoneticPr fontId="1" type="noConversion"/>
  </si>
  <si>
    <t>https://www.104.com.tw/job/8ndvx?jobsource=hotjob_chr_exp</t>
    <phoneticPr fontId="1" type="noConversion"/>
  </si>
  <si>
    <t>揚發實業有限公司</t>
    <phoneticPr fontId="1" type="noConversion"/>
  </si>
  <si>
    <t>新北市林口區</t>
    <phoneticPr fontId="1" type="noConversion"/>
  </si>
  <si>
    <t>月薪42,000~46,000元</t>
    <phoneticPr fontId="1" type="noConversion"/>
  </si>
  <si>
    <t>林口區</t>
    <phoneticPr fontId="1" type="noConversion"/>
  </si>
  <si>
    <t>https://www.104.com.tw/job/8d9k8?jobsource=joblist_search</t>
    <phoneticPr fontId="1" type="noConversion"/>
  </si>
  <si>
    <t>達欣工程股份有限公司</t>
    <phoneticPr fontId="1" type="noConversion"/>
  </si>
  <si>
    <t>台北市大安區</t>
    <phoneticPr fontId="1" type="noConversion"/>
  </si>
  <si>
    <t>大安區</t>
    <phoneticPr fontId="1" type="noConversion"/>
  </si>
  <si>
    <t>職業安全衛生管理員(師)(林口區，需職安管理員乙級證照未服兵役之應屆畢業生無經驗可)</t>
    <phoneticPr fontId="1" type="noConversion"/>
  </si>
  <si>
    <t>https://www.104.com.tw/job/89uru?jobsource=joblist_search</t>
    <phoneticPr fontId="1" type="noConversion"/>
  </si>
  <si>
    <t>春原營造股份有限公司</t>
    <phoneticPr fontId="1" type="noConversion"/>
  </si>
  <si>
    <t>月薪45,900元以上</t>
    <phoneticPr fontId="1" type="noConversion"/>
  </si>
  <si>
    <t>職安管理員(台北市)</t>
    <phoneticPr fontId="1" type="noConversion"/>
  </si>
  <si>
    <t>https://www.104.com.tw/job/74drh?jobsource=joblist_search</t>
    <phoneticPr fontId="1" type="noConversion"/>
  </si>
  <si>
    <t>文昌營造工程有限公司</t>
    <phoneticPr fontId="1" type="noConversion"/>
  </si>
  <si>
    <t>台北市內湖區</t>
    <phoneticPr fontId="1" type="noConversion"/>
  </si>
  <si>
    <t>月薪60,000~70,000元</t>
    <phoneticPr fontId="1" type="noConversion"/>
  </si>
  <si>
    <t>內湖區</t>
    <phoneticPr fontId="1" type="noConversion"/>
  </si>
  <si>
    <t>職安管理員兼永續管理</t>
    <phoneticPr fontId="1" type="noConversion"/>
  </si>
  <si>
    <t>https://www.104.com.tw/job/88g24?jobsource=joblist_search</t>
    <phoneticPr fontId="1" type="noConversion"/>
  </si>
  <si>
    <t>大云永續科技股份有限公司</t>
    <phoneticPr fontId="1" type="noConversion"/>
  </si>
  <si>
    <t>月薪40,000元以上</t>
    <phoneticPr fontId="1" type="noConversion"/>
  </si>
  <si>
    <t>職業安全衛生管理員(電腦業彈性上下班)</t>
    <phoneticPr fontId="1" type="noConversion"/>
  </si>
  <si>
    <t>https://www.104.com.tw/job/87psl?jobsource=joblist_search</t>
    <phoneticPr fontId="1" type="noConversion"/>
  </si>
  <si>
    <t>倫飛電腦實業股份有限公司</t>
    <phoneticPr fontId="1" type="noConversion"/>
  </si>
  <si>
    <t>燦坤總部-職安部-勞工安全衛生管理員/職業安全衛生管理員</t>
    <phoneticPr fontId="1" type="noConversion"/>
  </si>
  <si>
    <t>https://www.104.com.tw/job/5l6hp?jobsource=joblist_search</t>
    <phoneticPr fontId="1" type="noConversion"/>
  </si>
  <si>
    <t>燦坤實業股份有限公司</t>
    <phoneticPr fontId="1" type="noConversion"/>
  </si>
  <si>
    <t>月薪33,000~40,000元</t>
    <phoneticPr fontId="1" type="noConversion"/>
  </si>
  <si>
    <t>職業安全衛生管理員 (財管部)</t>
    <phoneticPr fontId="1" type="noConversion"/>
  </si>
  <si>
    <t>https://www.104.com.tw/job/81tim?jobsource=joblist_search</t>
    <phoneticPr fontId="1" type="noConversion"/>
  </si>
  <si>
    <t>iRent_和雲行動服務股份有限公司</t>
    <phoneticPr fontId="1" type="noConversion"/>
  </si>
  <si>
    <t>台北市中山區</t>
    <phoneticPr fontId="1" type="noConversion"/>
  </si>
  <si>
    <t>月薪30,000~50,000元</t>
    <phoneticPr fontId="1" type="noConversion"/>
  </si>
  <si>
    <t>中山區</t>
    <phoneticPr fontId="1" type="noConversion"/>
  </si>
  <si>
    <t>WS職安管理員</t>
    <phoneticPr fontId="1" type="noConversion"/>
  </si>
  <si>
    <t>https://www.104.com.tw/job/8fwaz?jobsource=joblist_search</t>
    <phoneticPr fontId="1" type="noConversion"/>
  </si>
  <si>
    <t>SHISEIDO 資生堂_華資粧業股份有限公司</t>
    <phoneticPr fontId="1" type="noConversion"/>
  </si>
  <si>
    <t>工程部 職安管理員</t>
    <phoneticPr fontId="1" type="noConversion"/>
  </si>
  <si>
    <t>https://www.104.com.tw/job/7ux0u?jobsource=joblist_search</t>
    <phoneticPr fontId="1" type="noConversion"/>
  </si>
  <si>
    <t>台北花園大酒店股份有限公司</t>
    <phoneticPr fontId="1" type="noConversion"/>
  </si>
  <si>
    <t>台北市中正區</t>
    <phoneticPr fontId="1" type="noConversion"/>
  </si>
  <si>
    <t>月薪34,000~40,000元</t>
    <phoneticPr fontId="1" type="noConversion"/>
  </si>
  <si>
    <t>中正區</t>
    <phoneticPr fontId="1" type="noConversion"/>
  </si>
  <si>
    <t>職業安全衛生管理員</t>
    <phoneticPr fontId="1" type="noConversion"/>
  </si>
  <si>
    <t>https://www.104.com.tw/job/8k0xo?jobsource=joblist_search</t>
    <phoneticPr fontId="1" type="noConversion"/>
  </si>
  <si>
    <t>光紅建聖股份有限公司</t>
    <phoneticPr fontId="1" type="noConversion"/>
  </si>
  <si>
    <t>職業安全衛生管理員(總部)</t>
    <phoneticPr fontId="1" type="noConversion"/>
  </si>
  <si>
    <t>https://www.104.com.tw/job/762ng?jobsource=joblist_search</t>
    <phoneticPr fontId="1" type="noConversion"/>
  </si>
  <si>
    <t>福清營造股份有限公司</t>
    <phoneticPr fontId="1" type="noConversion"/>
  </si>
  <si>
    <t>月薪42,000~55,000元</t>
    <phoneticPr fontId="1" type="noConversion"/>
  </si>
  <si>
    <t>https://www.104.com.tw/job/7uueu?jobsource=joblist_search</t>
    <phoneticPr fontId="1" type="noConversion"/>
  </si>
  <si>
    <t>台灣半導體股份有限公司</t>
    <phoneticPr fontId="1" type="noConversion"/>
  </si>
  <si>
    <t>安全衛生管理員</t>
    <phoneticPr fontId="1" type="noConversion"/>
  </si>
  <si>
    <t>https://www.104.com.tw/job/8k6gw?jobsource=joblist_search</t>
    <phoneticPr fontId="1" type="noConversion"/>
  </si>
  <si>
    <t>宇雄有限公司</t>
    <phoneticPr fontId="1" type="noConversion"/>
  </si>
  <si>
    <t>職業安全衛生管理員(新北林口區)</t>
    <phoneticPr fontId="1" type="noConversion"/>
  </si>
  <si>
    <t>https://www.104.com.tw/job/83u25?jobsource=joblist_search</t>
    <phoneticPr fontId="1" type="noConversion"/>
  </si>
  <si>
    <t>【國泰地產集團】職業安全衛生管理人員-北區(雙北/桃園)</t>
    <phoneticPr fontId="1" type="noConversion"/>
  </si>
  <si>
    <t>https://www.104.com.tw/job/3xxsp?jobsource=joblist_search</t>
    <phoneticPr fontId="1" type="noConversion"/>
  </si>
  <si>
    <t>三井工程股份有限公司</t>
    <phoneticPr fontId="1" type="noConversion"/>
  </si>
  <si>
    <t>職業安全衛生人員【台北市】</t>
    <phoneticPr fontId="1" type="noConversion"/>
  </si>
  <si>
    <t>https://www.104.com.tw/job/8oslm?jobsource=joblist_search</t>
    <phoneticPr fontId="1" type="noConversion"/>
  </si>
  <si>
    <t>嘟嘟房_寶盛國際股份有限公司</t>
    <phoneticPr fontId="1" type="noConversion"/>
  </si>
  <si>
    <t>台北市南港區</t>
    <phoneticPr fontId="1" type="noConversion"/>
  </si>
  <si>
    <t>月薪38,000~42,000元</t>
    <phoneticPr fontId="1" type="noConversion"/>
  </si>
  <si>
    <t>南港區</t>
    <phoneticPr fontId="1" type="noConversion"/>
  </si>
  <si>
    <t>職安管理員 (雙北地區)</t>
    <phoneticPr fontId="1" type="noConversion"/>
  </si>
  <si>
    <t>https://www.104.com.tw/job/7xnoa?jobsource=joblist_search</t>
    <phoneticPr fontId="1" type="noConversion"/>
  </si>
  <si>
    <t>遠雄營造股份有限公司</t>
    <phoneticPr fontId="1" type="noConversion"/>
  </si>
  <si>
    <t>【樂多多集團】職業安全衛生管理員 - 米其林指標/有熱情、挑戰米其林等級夥伴</t>
    <phoneticPr fontId="1" type="noConversion"/>
  </si>
  <si>
    <t>https://www.104.com.tw/job/8j16v?jobsource=joblist_search</t>
    <phoneticPr fontId="1" type="noConversion"/>
  </si>
  <si>
    <t>樂多多集團_樂多多世界股份有限公司</t>
    <phoneticPr fontId="1" type="noConversion"/>
  </si>
  <si>
    <t>月薪40,000~55,000元</t>
    <phoneticPr fontId="1" type="noConversion"/>
  </si>
  <si>
    <t>#正職非派遣# 【職業安全衛生管理員】享績效/年終/紅利等獎金| 薪資45K起(可談) AC</t>
    <phoneticPr fontId="1" type="noConversion"/>
  </si>
  <si>
    <t>https://www.104.com.tw/job/8onts?jobsource=joblist_search</t>
    <phoneticPr fontId="1" type="noConversion"/>
  </si>
  <si>
    <t>康彼斯顧問股份有限公司</t>
    <phoneticPr fontId="1" type="noConversion"/>
  </si>
  <si>
    <t>https://www.104.com.tw/job/8nssp?jobsource=joblist_search</t>
    <phoneticPr fontId="1" type="noConversion"/>
  </si>
  <si>
    <t>源進實業股份有限公司</t>
    <phoneticPr fontId="1" type="noConversion"/>
  </si>
  <si>
    <t>職安人員</t>
    <phoneticPr fontId="1" type="noConversion"/>
  </si>
  <si>
    <t>https://www.104.com.tw/job/8mlkk?jobsource=hotjob_chr_exp</t>
    <phoneticPr fontId="1" type="noConversion"/>
  </si>
  <si>
    <t>思必瑞特生技股份有限公司</t>
    <phoneticPr fontId="1" type="noConversion"/>
  </si>
  <si>
    <t>新北市汐止區</t>
    <phoneticPr fontId="1" type="noConversion"/>
  </si>
  <si>
    <t>汐止區</t>
    <phoneticPr fontId="1" type="noConversion"/>
  </si>
  <si>
    <t>勞工安全衛生管理員、工安管理員(新北市)</t>
    <phoneticPr fontId="1" type="noConversion"/>
  </si>
  <si>
    <t>https://www.104.com.tw/job/7whzj?jobsource=joblist_search</t>
    <phoneticPr fontId="1" type="noConversion"/>
  </si>
  <si>
    <t>和碩工程股份有限公司</t>
    <phoneticPr fontId="1" type="noConversion"/>
  </si>
  <si>
    <t>月薪37,000~55,000元</t>
    <phoneticPr fontId="1" type="noConversion"/>
  </si>
  <si>
    <t>【台隆集團關係企業】職業安全衛生管理員</t>
    <phoneticPr fontId="1" type="noConversion"/>
  </si>
  <si>
    <t>https://www.104.com.tw/job/8n78f?jobsource=joblist_search</t>
    <phoneticPr fontId="1" type="noConversion"/>
  </si>
  <si>
    <t>台隆集團關係企業_台灣吉豚屋餐飲股份有限公司</t>
    <phoneticPr fontId="1" type="noConversion"/>
  </si>
  <si>
    <t>月薪35,000~42,000元</t>
    <phoneticPr fontId="1" type="noConversion"/>
  </si>
  <si>
    <t>https://www.104.com.tw/job/8ambs?jobsource=joblist_search</t>
    <phoneticPr fontId="1" type="noConversion"/>
  </si>
  <si>
    <t>長庚國際能源股份有限公司</t>
    <phoneticPr fontId="1" type="noConversion"/>
  </si>
  <si>
    <t>新北市樹林區</t>
    <phoneticPr fontId="1" type="noConversion"/>
  </si>
  <si>
    <t>月薪37,000~45,000元</t>
    <phoneticPr fontId="1" type="noConversion"/>
  </si>
  <si>
    <t>樹林區</t>
    <phoneticPr fontId="1" type="noConversion"/>
  </si>
  <si>
    <t>職業安全衛生管理人員(需具備乙級勞工安全衛生管理技術士證照)</t>
    <phoneticPr fontId="1" type="noConversion"/>
  </si>
  <si>
    <t>https://www.104.com.tw/job/7jkc7?jobsource=joblist_search</t>
    <phoneticPr fontId="1" type="noConversion"/>
  </si>
  <si>
    <t>采盟股份有限公司</t>
    <phoneticPr fontId="1" type="noConversion"/>
  </si>
  <si>
    <t>職業安全衛生管理人員(SH)</t>
    <phoneticPr fontId="1" type="noConversion"/>
  </si>
  <si>
    <t>https://www.104.com.tw/job/8n6l4?jobsource=joblist_search</t>
    <phoneticPr fontId="1" type="noConversion"/>
  </si>
  <si>
    <t>中興工程顧問股份有限公司</t>
    <phoneticPr fontId="1" type="noConversion"/>
  </si>
  <si>
    <t>https://www.104.com.tw/job/8nakn?jobsource=joblist_search</t>
    <phoneticPr fontId="1" type="noConversion"/>
  </si>
  <si>
    <t>長源汽車股份有限公司</t>
    <phoneticPr fontId="1" type="noConversion"/>
  </si>
  <si>
    <t>新北市新莊區</t>
    <phoneticPr fontId="1" type="noConversion"/>
  </si>
  <si>
    <t>新莊區</t>
    <phoneticPr fontId="1" type="noConversion"/>
  </si>
  <si>
    <t>勞工安全衛生管理員</t>
    <phoneticPr fontId="1" type="noConversion"/>
  </si>
  <si>
    <t>https://www.104.com.tw/job/8m3vi?jobsource=joblist_search</t>
    <phoneticPr fontId="1" type="noConversion"/>
  </si>
  <si>
    <t>上洋產業股份有限公司</t>
    <phoneticPr fontId="1" type="noConversion"/>
  </si>
  <si>
    <t>https://www.104.com.tw/job/7m4z8?jobsource=joblist_search</t>
    <phoneticPr fontId="1" type="noConversion"/>
  </si>
  <si>
    <t>西北食品工業股份有限公司</t>
    <phoneticPr fontId="1" type="noConversion"/>
  </si>
  <si>
    <t>(A00- )職業安全衛生管理員</t>
    <phoneticPr fontId="1" type="noConversion"/>
  </si>
  <si>
    <t>https://www.104.com.tw/job/7ikkh?jobsource=joblist_search</t>
    <phoneticPr fontId="1" type="noConversion"/>
  </si>
  <si>
    <t>新漢股份有限公司</t>
    <phoneticPr fontId="1" type="noConversion"/>
  </si>
  <si>
    <t>https://www.104.com.tw/job/8ofmq?jobsource=joblist_search</t>
    <phoneticPr fontId="1" type="noConversion"/>
  </si>
  <si>
    <t>富裔實業股份有限公司</t>
    <phoneticPr fontId="1" type="noConversion"/>
  </si>
  <si>
    <t>【新店區-近七張/大坪林捷運站】職業安全衛生管理員_250202</t>
    <phoneticPr fontId="1" type="noConversion"/>
  </si>
  <si>
    <t>https://www.104.com.tw/job/8mszk?jobsource=joblist_search</t>
    <phoneticPr fontId="1" type="noConversion"/>
  </si>
  <si>
    <t>鑫亞電通股份有限公司</t>
    <phoneticPr fontId="1" type="noConversion"/>
  </si>
  <si>
    <t>商品部-生鮮中心-乙級 職業安全衛生管理員</t>
    <phoneticPr fontId="1" type="noConversion"/>
  </si>
  <si>
    <t>https://www.104.com.tw/job/8mlhc?jobsource=joblist_search</t>
    <phoneticPr fontId="1" type="noConversion"/>
  </si>
  <si>
    <t>全聯福利中心_全聯實業股份有限公司</t>
    <phoneticPr fontId="1" type="noConversion"/>
  </si>
  <si>
    <t>月薪38,000元以上</t>
    <phoneticPr fontId="1" type="noConversion"/>
  </si>
  <si>
    <t>職安人員、工安、職業安全衛生管理人員</t>
    <phoneticPr fontId="1" type="noConversion"/>
  </si>
  <si>
    <t>https://www.104.com.tw/job/873y1?jobsource=joblist_search</t>
    <phoneticPr fontId="1" type="noConversion"/>
  </si>
  <si>
    <t>皇群動力工程有限公司</t>
    <phoneticPr fontId="1" type="noConversion"/>
  </si>
  <si>
    <t>月薪50,000元以上</t>
    <phoneticPr fontId="1" type="noConversion"/>
  </si>
  <si>
    <t>https://www.104.com.tw/job/651bd?jobsource=joblist_search</t>
    <phoneticPr fontId="1" type="noConversion"/>
  </si>
  <si>
    <t>啟鑫科技股份有限公司</t>
    <phoneticPr fontId="1" type="noConversion"/>
  </si>
  <si>
    <t>月薪28,590~39,000元</t>
    <phoneticPr fontId="1" type="noConversion"/>
  </si>
  <si>
    <t>https://www.104.com.tw/job/8ndvx?jobsource=joblist_search</t>
    <phoneticPr fontId="1" type="noConversion"/>
  </si>
  <si>
    <t>職安管理員(台北港區內，供宿)</t>
    <phoneticPr fontId="1" type="noConversion"/>
  </si>
  <si>
    <t>https://www.104.com.tw/job/8n8w9?jobsource=joblist_search</t>
    <phoneticPr fontId="1" type="noConversion"/>
  </si>
  <si>
    <t>慶耀營造有限公司</t>
    <phoneticPr fontId="1" type="noConversion"/>
  </si>
  <si>
    <t>新北市八里區</t>
    <phoneticPr fontId="1" type="noConversion"/>
  </si>
  <si>
    <t>月薪55,000元以上</t>
    <phoneticPr fontId="1" type="noConversion"/>
  </si>
  <si>
    <t>八里區</t>
    <phoneticPr fontId="1" type="noConversion"/>
  </si>
  <si>
    <t>勞工安全衛生管理人員</t>
    <phoneticPr fontId="1" type="noConversion"/>
  </si>
  <si>
    <t>https://www.104.com.tw/job/8mjvj?jobsource=joblist_search</t>
    <phoneticPr fontId="1" type="noConversion"/>
  </si>
  <si>
    <t>東鈺營造股份有限公司</t>
    <phoneticPr fontId="1" type="noConversion"/>
  </si>
  <si>
    <t>月薪50,000~55,000元</t>
    <phoneticPr fontId="1" type="noConversion"/>
  </si>
  <si>
    <t>INDITEX_職業安全衛生管理員</t>
    <phoneticPr fontId="1" type="noConversion"/>
  </si>
  <si>
    <t>https://www.104.com.tw/job/8ah6l?jobsource=joblist_search</t>
    <phoneticPr fontId="1" type="noConversion"/>
  </si>
  <si>
    <t>INDITEX_荷蘭商愛特思股份有限公司台灣分公司</t>
    <phoneticPr fontId="1" type="noConversion"/>
  </si>
  <si>
    <t>月薪30,000~45,000元</t>
    <phoneticPr fontId="1" type="noConversion"/>
  </si>
  <si>
    <t>https://www.104.com.tw/job/8d52p?jobsource=joblist_search</t>
    <phoneticPr fontId="1" type="noConversion"/>
  </si>
  <si>
    <t>戶上工程股份有限公司</t>
    <phoneticPr fontId="1" type="noConversion"/>
  </si>
  <si>
    <t>【新店中央工廠】職業安全衛生管理員</t>
    <phoneticPr fontId="1" type="noConversion"/>
  </si>
  <si>
    <t>https://www.104.com.tw/job/8gxs3?jobsource=joblist_search</t>
    <phoneticPr fontId="1" type="noConversion"/>
  </si>
  <si>
    <t>月薪35,000~38,000元</t>
    <phoneticPr fontId="1" type="noConversion"/>
  </si>
  <si>
    <t>職業安全衛生管理人員(新北)</t>
    <phoneticPr fontId="1" type="noConversion"/>
  </si>
  <si>
    <t>https://www.104.com.tw/job/8ml1g?jobsource=joblist_search</t>
    <phoneticPr fontId="1" type="noConversion"/>
  </si>
  <si>
    <t>群光電能科技股份有限公司</t>
    <phoneticPr fontId="1" type="noConversion"/>
  </si>
  <si>
    <t>https://www.104.com.tw/job/77f1e?jobsource=joblist_search</t>
    <phoneticPr fontId="1" type="noConversion"/>
  </si>
  <si>
    <t>奇力速工業股份有限公司</t>
    <phoneticPr fontId="1" type="noConversion"/>
  </si>
  <si>
    <t>https://www.104.com.tw/job/889hu?jobsource=joblist_search</t>
    <phoneticPr fontId="1" type="noConversion"/>
  </si>
  <si>
    <t>榮益科技股份有限公司</t>
    <phoneticPr fontId="1" type="noConversion"/>
  </si>
  <si>
    <t>https://www.104.com.tw/job/8p1ak?jobsource=joblist_search</t>
    <phoneticPr fontId="1" type="noConversion"/>
  </si>
  <si>
    <t>台北凱撒大飯店 _國裕開發股份有限公司</t>
    <phoneticPr fontId="1" type="noConversion"/>
  </si>
  <si>
    <t>https://www.104.com.tw/job/8oqs8?jobsource=joblist_search</t>
    <phoneticPr fontId="1" type="noConversion"/>
  </si>
  <si>
    <t>台灣新菱股份有限公司</t>
    <phoneticPr fontId="1" type="noConversion"/>
  </si>
  <si>
    <t>月薪45,000~50,000元</t>
    <phoneticPr fontId="1" type="noConversion"/>
  </si>
  <si>
    <t>營運管理-職業安全衛生管理人員(內湖)</t>
    <phoneticPr fontId="1" type="noConversion"/>
  </si>
  <si>
    <t>https://www.104.com.tw/job/883o2?jobsource=joblist_search</t>
    <phoneticPr fontId="1" type="noConversion"/>
  </si>
  <si>
    <t>瀚宇彩晶股份有限公司</t>
    <phoneticPr fontId="1" type="noConversion"/>
  </si>
  <si>
    <t>乙級職業安全衛生管理員</t>
    <phoneticPr fontId="1" type="noConversion"/>
  </si>
  <si>
    <t>https://www.104.com.tw/job/8ohx7?jobsource=joblist_search</t>
    <phoneticPr fontId="1" type="noConversion"/>
  </si>
  <si>
    <t>奕揚營造有限公司</t>
    <phoneticPr fontId="1" type="noConversion"/>
  </si>
  <si>
    <t>新北市泰山區</t>
    <phoneticPr fontId="1" type="noConversion"/>
  </si>
  <si>
    <t>泰山區</t>
    <phoneticPr fontId="1" type="noConversion"/>
  </si>
  <si>
    <t>乙級職業安全衛生管理員(具營造業經驗者)</t>
    <phoneticPr fontId="1" type="noConversion"/>
  </si>
  <si>
    <t>https://www.104.com.tw/job/83ppx?jobsource=f_2025career</t>
    <phoneticPr fontId="1" type="noConversion"/>
  </si>
  <si>
    <t>中鹿營造股份有限公司</t>
    <phoneticPr fontId="1" type="noConversion"/>
  </si>
  <si>
    <t>職業安全衛生管理人員-台北（土木結構部）</t>
    <phoneticPr fontId="1" type="noConversion"/>
  </si>
  <si>
    <t>https://www.104.com.tw/job/87i60?jobsource=joblist_search</t>
    <phoneticPr fontId="1" type="noConversion"/>
  </si>
  <si>
    <t>恆康工程顧問股份有限公司</t>
    <phoneticPr fontId="1" type="noConversion"/>
  </si>
  <si>
    <t>月薪60,000~65,000元</t>
    <phoneticPr fontId="1" type="noConversion"/>
  </si>
  <si>
    <t>『職業安全衛生管理員』管理部｜近台北車站</t>
    <phoneticPr fontId="1" type="noConversion"/>
  </si>
  <si>
    <t>https://www.104.com.tw/job/8nrrd?jobsource=joblist_search</t>
    <phoneticPr fontId="1" type="noConversion"/>
  </si>
  <si>
    <t>程曦資訊整合股份有限公司</t>
    <phoneticPr fontId="1" type="noConversion"/>
  </si>
  <si>
    <t>台北市大同區</t>
    <phoneticPr fontId="1" type="noConversion"/>
  </si>
  <si>
    <t>大同區</t>
    <phoneticPr fontId="1" type="noConversion"/>
  </si>
  <si>
    <t>職業安全衛生管理員  督導/主管</t>
    <phoneticPr fontId="1" type="noConversion"/>
  </si>
  <si>
    <t>https://www.104.com.tw/job/8gjqt?jobsource=joblist_search</t>
    <phoneticPr fontId="1" type="noConversion"/>
  </si>
  <si>
    <t>華聯工程股份有限公司</t>
    <phoneticPr fontId="1" type="noConversion"/>
  </si>
  <si>
    <t>職業安全衛生管理員(工作地：雙北及桃園區，第二事業群)</t>
    <phoneticPr fontId="1" type="noConversion"/>
  </si>
  <si>
    <t>https://www.104.com.tw/job/8kskk?jobsource=joblist_search</t>
    <phoneticPr fontId="1" type="noConversion"/>
  </si>
  <si>
    <t>擎邦國際科技工程股份有限公司</t>
    <phoneticPr fontId="1" type="noConversion"/>
  </si>
  <si>
    <t>月薪45,000~60,000元</t>
    <phoneticPr fontId="1" type="noConversion"/>
  </si>
  <si>
    <t>https://www.104.com.tw/job/8k0vg?jobsource=joblist_search</t>
    <phoneticPr fontId="1" type="noConversion"/>
  </si>
  <si>
    <t>Share tea / 歇腳亭 / UG / MAMAK檔_聯發國際餐飲事業股份有限公司</t>
    <phoneticPr fontId="1" type="noConversion"/>
  </si>
  <si>
    <t>https://www.104.com.tw/job/8hhnx?jobsource=joblist_search</t>
    <phoneticPr fontId="1" type="noConversion"/>
  </si>
  <si>
    <t>新北市瑞芳區</t>
    <phoneticPr fontId="1" type="noConversion"/>
  </si>
  <si>
    <t>瑞芳區</t>
    <phoneticPr fontId="1" type="noConversion"/>
  </si>
  <si>
    <t>【中央工廠】食品工廠_職業安全衛生管理員_月薪40,000~50,000元_Miacucina連鎖餐廳品牌</t>
    <phoneticPr fontId="1" type="noConversion"/>
  </si>
  <si>
    <t>https://www.104.com.tw/job/8p4wp?jobsource=joblist_search</t>
    <phoneticPr fontId="1" type="noConversion"/>
  </si>
  <si>
    <t>Miacucina/Miopane/Dreamers Coffee/Herbivore/PRESERVE_好膳企業股份有限公司</t>
    <phoneticPr fontId="1" type="noConversion"/>
  </si>
  <si>
    <t>月薪40,000~50,000元</t>
    <phoneticPr fontId="1" type="noConversion"/>
  </si>
  <si>
    <t>乙級-職業安全衛生管理員</t>
    <phoneticPr fontId="1" type="noConversion"/>
  </si>
  <si>
    <t>https://www.104.com.tw/job/8di5c?jobsource=joblist_search</t>
    <phoneticPr fontId="1" type="noConversion"/>
  </si>
  <si>
    <t>虹堡科技股份有限公司</t>
    <phoneticPr fontId="1" type="noConversion"/>
  </si>
  <si>
    <t>乙級職業安全衛生管理員(乙級管理員)</t>
    <phoneticPr fontId="1" type="noConversion"/>
  </si>
  <si>
    <t>https://www.104.com.tw/job/8o638?jobsource=joblist_search</t>
    <phoneticPr fontId="1" type="noConversion"/>
  </si>
  <si>
    <t>樂清服務股份有限公司</t>
    <phoneticPr fontId="1" type="noConversion"/>
  </si>
  <si>
    <t>勞工安全衛生管理員(新北三重,板橋)</t>
    <phoneticPr fontId="1" type="noConversion"/>
  </si>
  <si>
    <t>https://www.104.com.tw/job/88ks7?jobsource=joblist_search</t>
    <phoneticPr fontId="1" type="noConversion"/>
  </si>
  <si>
    <t>宸茂營造有限公司</t>
    <phoneticPr fontId="1" type="noConversion"/>
  </si>
  <si>
    <t>月薪45,000~57,000元</t>
    <phoneticPr fontId="1" type="noConversion"/>
  </si>
  <si>
    <t>P1000 職業安全衛生管理專員(內湖區)</t>
    <phoneticPr fontId="1" type="noConversion"/>
  </si>
  <si>
    <t>https://www.104.com.tw/job/8ntaw?jobsource=joblist_search</t>
    <phoneticPr fontId="1" type="noConversion"/>
  </si>
  <si>
    <t>富邦媒體科技股份有限公司(富邦momo)</t>
    <phoneticPr fontId="1" type="noConversion"/>
  </si>
  <si>
    <t>`</t>
    <phoneticPr fontId="1" type="noConversion"/>
  </si>
  <si>
    <t>最多搜尋頁數</t>
    <phoneticPr fontId="1" type="noConversion"/>
  </si>
  <si>
    <t>職業安全衛生管理人員(台北市-南港區)【需具一般甲種職業安全衛生業務主管證照】</t>
    <phoneticPr fontId="1" type="noConversion"/>
  </si>
  <si>
    <t>https://www.104.com.tw/job/8p821?jobsource=joblist_search</t>
    <phoneticPr fontId="1" type="noConversion"/>
  </si>
  <si>
    <t>誠紳開發工程有限公司</t>
    <phoneticPr fontId="1" type="noConversion"/>
  </si>
  <si>
    <t>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</si>
</sst>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F31" sqref="F31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4</v>
      </c>
      <c r="C1" s="1" t="s">
        <v>2</v>
      </c>
      <c r="D1" s="1" t="s">
        <v>9</v>
      </c>
    </row>
    <row r="2" spans="1:4" x14ac:dyDescent="0.25">
      <c r="A2" s="2" t="s">
        <v>6</v>
      </c>
      <c r="B2" s="2">
        <v>6001001000</v>
      </c>
      <c r="C2" s="3" t="s">
        <v>13</v>
      </c>
      <c r="D2" s="3">
        <v>2009001000</v>
      </c>
    </row>
    <row r="3" spans="1:4" x14ac:dyDescent="0.25">
      <c r="A3" s="2" t="s">
        <v>8</v>
      </c>
      <c r="B3" s="2">
        <v>6001002000</v>
      </c>
      <c r="C3" s="3" t="s">
        <v>10</v>
      </c>
      <c r="D3" s="3">
        <v>2009001001</v>
      </c>
    </row>
    <row r="4" spans="1:4" x14ac:dyDescent="0.25">
      <c r="A4" s="2"/>
      <c r="B4" s="2"/>
      <c r="C4" s="3" t="s">
        <v>14</v>
      </c>
      <c r="D4" s="3">
        <v>2009001002</v>
      </c>
    </row>
    <row r="5" spans="1:4" x14ac:dyDescent="0.25">
      <c r="A5" s="2"/>
      <c r="B5" s="2"/>
      <c r="C5" s="3" t="s">
        <v>17</v>
      </c>
      <c r="D5" s="3">
        <v>2009001003</v>
      </c>
    </row>
    <row r="6" spans="1:4" x14ac:dyDescent="0.25">
      <c r="A6" s="2"/>
      <c r="B6" s="2"/>
      <c r="C6" s="3" t="s">
        <v>12</v>
      </c>
      <c r="D6" s="3">
        <v>2009001004</v>
      </c>
    </row>
    <row r="7" spans="1:4" x14ac:dyDescent="0.25">
      <c r="A7" s="2"/>
      <c r="B7" s="2"/>
      <c r="C7" s="3" t="s">
        <v>16</v>
      </c>
      <c r="D7" s="3">
        <v>2009001005</v>
      </c>
    </row>
    <row r="8" spans="1:4" x14ac:dyDescent="0.25">
      <c r="A8" s="2"/>
      <c r="B8" s="2"/>
      <c r="C8" s="3" t="s">
        <v>15</v>
      </c>
      <c r="D8" s="3">
        <v>2009001006</v>
      </c>
    </row>
    <row r="9" spans="1:4" x14ac:dyDescent="0.25">
      <c r="A9" s="2"/>
      <c r="B9" s="2"/>
      <c r="C9" s="3" t="s">
        <v>11</v>
      </c>
      <c r="D9" s="3">
        <v>2009004008</v>
      </c>
    </row>
    <row r="10" spans="1:4" x14ac:dyDescent="0.25">
      <c r="A10" s="2"/>
      <c r="B10" s="2"/>
      <c r="C10" s="3" t="s">
        <v>19</v>
      </c>
      <c r="D10" s="3">
        <v>2009003000</v>
      </c>
    </row>
    <row r="11" spans="1:4" x14ac:dyDescent="0.25">
      <c r="A11" s="2"/>
      <c r="B11" s="2"/>
      <c r="C11" s="3"/>
      <c r="D11" s="3"/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L12"/>
  <sheetViews>
    <sheetView workbookViewId="0">
      <selection activeCell="D34" sqref="D34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12" x14ac:dyDescent="0.25">
      <c r="A3" s="9" t="s">
        <v>18</v>
      </c>
      <c r="B3" s="6" t="s">
        <v>20</v>
      </c>
      <c r="C3" s="6"/>
      <c r="E3" s="6"/>
    </row>
    <row r="4" spans="1:12" ht="16.5" x14ac:dyDescent="0.25">
      <c r="A4" s="7" t="s">
        <v>278</v>
      </c>
      <c r="B4" s="5">
        <v>3</v>
      </c>
      <c r="C4" s="11"/>
      <c r="E4" s="11"/>
    </row>
    <row r="5" spans="1:12" x14ac:dyDescent="0.25">
      <c r="A5" s="7" t="s">
        <v>0</v>
      </c>
      <c r="B5" s="7" t="s">
        <v>1</v>
      </c>
      <c r="C5" s="10" t="s">
        <v>21</v>
      </c>
      <c r="D5" s="8" t="s">
        <v>2</v>
      </c>
      <c r="E5" s="10" t="s">
        <v>22</v>
      </c>
    </row>
    <row r="6" spans="1:12" x14ac:dyDescent="0.25">
      <c r="A6" s="13" t="s">
        <v>3</v>
      </c>
      <c r="B6" s="14" t="s">
        <v>5</v>
      </c>
      <c r="C6" s="12">
        <f>_xlfn.IFNA(VLOOKUP(B6,index!A:B,2,FALSE),"")</f>
        <v>6001001000</v>
      </c>
      <c r="D6" s="15" t="s">
        <v>11</v>
      </c>
      <c r="E6" s="12">
        <f>_xlfn.IFNA(VLOOKUP(D6,index!C:D,2,FALSE),"")</f>
        <v>2009004008</v>
      </c>
    </row>
    <row r="7" spans="1:12" x14ac:dyDescent="0.25">
      <c r="A7" s="13"/>
      <c r="B7" s="14" t="s">
        <v>7</v>
      </c>
      <c r="C7" s="12">
        <f>_xlfn.IFNA(VLOOKUP(B7,index!A:B,2,FALSE),"")</f>
        <v>6001002000</v>
      </c>
      <c r="D7" s="15"/>
      <c r="E7" s="12" t="str">
        <f>_xlfn.IFNA(VLOOKUP(D7,index!C:D,2,FALSE),"")</f>
        <v/>
      </c>
    </row>
    <row r="8" spans="1:12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12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12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12" s="16" customFormat="1" x14ac:dyDescent="0.25">
      <c r="A11" s="17" t="s">
        <v>3</v>
      </c>
      <c r="B11" s="18"/>
      <c r="C11" s="18" t="s">
        <v>24</v>
      </c>
      <c r="D11" s="19"/>
      <c r="E11" s="18" t="s">
        <v>23</v>
      </c>
    </row>
    <row r="12" spans="1:12" x14ac:dyDescent="0.25">
      <c r="L12" t="s">
        <v>277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64"/>
  <sheetViews>
    <sheetView workbookViewId="0">
      <selection activeCell="B1" sqref="B1"/>
    </sheetView>
  </sheetViews>
  <sheetFormatPr defaultRowHeight="15.75" x14ac:dyDescent="0.25"/>
  <cols>
    <col min="1" max="1" width="43" customWidth="1"/>
    <col min="3" max="3" width="28.5703125" customWidth="1"/>
  </cols>
  <sheetData>
    <row r="1" spans="1:11" x14ac:dyDescent="0.25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</row>
    <row r="2" spans="1:11" x14ac:dyDescent="0.25">
      <c r="A2" t="s">
        <v>57</v>
      </c>
      <c r="B2" t="s">
        <v>58</v>
      </c>
      <c r="C2" t="s">
        <v>59</v>
      </c>
      <c r="D2" t="s">
        <v>60</v>
      </c>
      <c r="E2" t="s">
        <v>61</v>
      </c>
      <c r="F2" t="s">
        <v>26</v>
      </c>
      <c r="G2">
        <v>45000</v>
      </c>
      <c r="H2">
        <v>45000</v>
      </c>
      <c r="I2">
        <v>45000</v>
      </c>
      <c r="J2" t="s">
        <v>6</v>
      </c>
      <c r="K2" t="s">
        <v>62</v>
      </c>
    </row>
    <row r="3" spans="1:11" x14ac:dyDescent="0.25">
      <c r="A3" t="s">
        <v>63</v>
      </c>
      <c r="B3" t="s">
        <v>64</v>
      </c>
      <c r="C3" t="s">
        <v>65</v>
      </c>
      <c r="D3" t="s">
        <v>66</v>
      </c>
      <c r="E3" t="s">
        <v>67</v>
      </c>
      <c r="F3" t="s">
        <v>26</v>
      </c>
      <c r="G3">
        <v>42000</v>
      </c>
      <c r="H3">
        <v>46000</v>
      </c>
      <c r="I3">
        <v>44000</v>
      </c>
      <c r="J3" t="s">
        <v>8</v>
      </c>
      <c r="K3" t="s">
        <v>68</v>
      </c>
    </row>
    <row r="4" spans="1:11" x14ac:dyDescent="0.25">
      <c r="A4" t="s">
        <v>3</v>
      </c>
      <c r="B4" t="s">
        <v>69</v>
      </c>
      <c r="C4" t="s">
        <v>70</v>
      </c>
      <c r="D4" t="s">
        <v>71</v>
      </c>
      <c r="E4" t="s">
        <v>31</v>
      </c>
      <c r="F4" t="s">
        <v>32</v>
      </c>
      <c r="J4" t="s">
        <v>6</v>
      </c>
      <c r="K4" t="s">
        <v>72</v>
      </c>
    </row>
    <row r="5" spans="1:11" x14ac:dyDescent="0.25">
      <c r="A5" t="s">
        <v>73</v>
      </c>
      <c r="B5" t="s">
        <v>74</v>
      </c>
      <c r="C5" t="s">
        <v>75</v>
      </c>
      <c r="D5" t="s">
        <v>66</v>
      </c>
      <c r="E5" t="s">
        <v>76</v>
      </c>
      <c r="F5" t="s">
        <v>26</v>
      </c>
      <c r="G5">
        <v>45900</v>
      </c>
      <c r="H5">
        <v>45900</v>
      </c>
      <c r="I5">
        <v>45900</v>
      </c>
      <c r="J5" t="s">
        <v>8</v>
      </c>
      <c r="K5" t="s">
        <v>68</v>
      </c>
    </row>
    <row r="6" spans="1:11" x14ac:dyDescent="0.25">
      <c r="A6" t="s">
        <v>77</v>
      </c>
      <c r="B6" t="s">
        <v>78</v>
      </c>
      <c r="C6" t="s">
        <v>79</v>
      </c>
      <c r="D6" t="s">
        <v>80</v>
      </c>
      <c r="E6" t="s">
        <v>81</v>
      </c>
      <c r="F6" t="s">
        <v>26</v>
      </c>
      <c r="G6">
        <v>60000</v>
      </c>
      <c r="H6">
        <v>70000</v>
      </c>
      <c r="I6">
        <v>65000</v>
      </c>
      <c r="J6" t="s">
        <v>6</v>
      </c>
      <c r="K6" t="s">
        <v>82</v>
      </c>
    </row>
    <row r="7" spans="1:11" x14ac:dyDescent="0.25">
      <c r="A7" t="s">
        <v>83</v>
      </c>
      <c r="B7" t="s">
        <v>84</v>
      </c>
      <c r="C7" t="s">
        <v>85</v>
      </c>
      <c r="D7" t="s">
        <v>71</v>
      </c>
      <c r="E7" t="s">
        <v>86</v>
      </c>
      <c r="F7" t="s">
        <v>26</v>
      </c>
      <c r="G7">
        <v>40000</v>
      </c>
      <c r="H7">
        <v>40000</v>
      </c>
      <c r="I7">
        <v>40000</v>
      </c>
      <c r="J7" t="s">
        <v>6</v>
      </c>
      <c r="K7" t="s">
        <v>72</v>
      </c>
    </row>
    <row r="8" spans="1:11" x14ac:dyDescent="0.25">
      <c r="A8" t="s">
        <v>87</v>
      </c>
      <c r="B8" t="s">
        <v>88</v>
      </c>
      <c r="C8" t="s">
        <v>89</v>
      </c>
      <c r="D8" t="s">
        <v>80</v>
      </c>
      <c r="E8" t="s">
        <v>61</v>
      </c>
      <c r="F8" t="s">
        <v>26</v>
      </c>
      <c r="G8">
        <v>45000</v>
      </c>
      <c r="H8">
        <v>45000</v>
      </c>
      <c r="I8">
        <v>45000</v>
      </c>
      <c r="J8" t="s">
        <v>6</v>
      </c>
      <c r="K8" t="s">
        <v>82</v>
      </c>
    </row>
    <row r="9" spans="1:11" x14ac:dyDescent="0.25">
      <c r="A9" t="s">
        <v>90</v>
      </c>
      <c r="B9" t="s">
        <v>91</v>
      </c>
      <c r="C9" t="s">
        <v>92</v>
      </c>
      <c r="D9" t="s">
        <v>80</v>
      </c>
      <c r="E9" t="s">
        <v>93</v>
      </c>
      <c r="F9" t="s">
        <v>26</v>
      </c>
      <c r="G9">
        <v>33000</v>
      </c>
      <c r="H9">
        <v>40000</v>
      </c>
      <c r="I9">
        <v>36500</v>
      </c>
      <c r="J9" t="s">
        <v>6</v>
      </c>
      <c r="K9" t="s">
        <v>82</v>
      </c>
    </row>
    <row r="10" spans="1:11" x14ac:dyDescent="0.25">
      <c r="A10" t="s">
        <v>94</v>
      </c>
      <c r="B10" t="s">
        <v>95</v>
      </c>
      <c r="C10" t="s">
        <v>96</v>
      </c>
      <c r="D10" t="s">
        <v>97</v>
      </c>
      <c r="E10" t="s">
        <v>98</v>
      </c>
      <c r="F10" t="s">
        <v>26</v>
      </c>
      <c r="G10">
        <v>30000</v>
      </c>
      <c r="H10">
        <v>50000</v>
      </c>
      <c r="I10">
        <v>40000</v>
      </c>
      <c r="J10" t="s">
        <v>6</v>
      </c>
      <c r="K10" t="s">
        <v>99</v>
      </c>
    </row>
    <row r="11" spans="1:11" x14ac:dyDescent="0.25">
      <c r="A11" t="s">
        <v>100</v>
      </c>
      <c r="B11" t="s">
        <v>101</v>
      </c>
      <c r="C11" t="s">
        <v>102</v>
      </c>
      <c r="D11" t="s">
        <v>71</v>
      </c>
      <c r="E11" t="s">
        <v>31</v>
      </c>
      <c r="F11" t="s">
        <v>32</v>
      </c>
      <c r="J11" t="s">
        <v>6</v>
      </c>
      <c r="K11" t="s">
        <v>72</v>
      </c>
    </row>
    <row r="12" spans="1:11" x14ac:dyDescent="0.25">
      <c r="A12" t="s">
        <v>103</v>
      </c>
      <c r="B12" t="s">
        <v>104</v>
      </c>
      <c r="C12" t="s">
        <v>105</v>
      </c>
      <c r="D12" t="s">
        <v>106</v>
      </c>
      <c r="E12" t="s">
        <v>107</v>
      </c>
      <c r="F12" t="s">
        <v>26</v>
      </c>
      <c r="G12">
        <v>34000</v>
      </c>
      <c r="H12">
        <v>40000</v>
      </c>
      <c r="I12">
        <v>37000</v>
      </c>
      <c r="J12" t="s">
        <v>6</v>
      </c>
      <c r="K12" t="s">
        <v>108</v>
      </c>
    </row>
    <row r="13" spans="1:11" x14ac:dyDescent="0.25">
      <c r="A13" t="s">
        <v>109</v>
      </c>
      <c r="B13" t="s">
        <v>110</v>
      </c>
      <c r="C13" t="s">
        <v>111</v>
      </c>
      <c r="D13" t="s">
        <v>38</v>
      </c>
      <c r="E13" t="s">
        <v>31</v>
      </c>
      <c r="F13" t="s">
        <v>32</v>
      </c>
      <c r="J13" t="s">
        <v>8</v>
      </c>
      <c r="K13" t="s">
        <v>39</v>
      </c>
    </row>
    <row r="14" spans="1:11" x14ac:dyDescent="0.25">
      <c r="A14" t="s">
        <v>112</v>
      </c>
      <c r="B14" t="s">
        <v>113</v>
      </c>
      <c r="C14" t="s">
        <v>114</v>
      </c>
      <c r="D14" t="s">
        <v>80</v>
      </c>
      <c r="E14" t="s">
        <v>115</v>
      </c>
      <c r="F14" t="s">
        <v>26</v>
      </c>
      <c r="G14">
        <v>42000</v>
      </c>
      <c r="H14">
        <v>55000</v>
      </c>
      <c r="I14">
        <v>48500</v>
      </c>
      <c r="J14" t="s">
        <v>6</v>
      </c>
      <c r="K14" t="s">
        <v>82</v>
      </c>
    </row>
    <row r="15" spans="1:11" x14ac:dyDescent="0.25">
      <c r="A15" t="s">
        <v>109</v>
      </c>
      <c r="B15" t="s">
        <v>116</v>
      </c>
      <c r="C15" t="s">
        <v>117</v>
      </c>
      <c r="D15" t="s">
        <v>25</v>
      </c>
      <c r="E15" t="s">
        <v>31</v>
      </c>
      <c r="F15" t="s">
        <v>32</v>
      </c>
      <c r="J15" t="s">
        <v>8</v>
      </c>
      <c r="K15" t="s">
        <v>27</v>
      </c>
    </row>
    <row r="16" spans="1:11" x14ac:dyDescent="0.25">
      <c r="A16" t="s">
        <v>118</v>
      </c>
      <c r="B16" t="s">
        <v>119</v>
      </c>
      <c r="C16" t="s">
        <v>120</v>
      </c>
      <c r="D16" t="s">
        <v>42</v>
      </c>
      <c r="E16" t="s">
        <v>43</v>
      </c>
      <c r="F16" t="s">
        <v>26</v>
      </c>
      <c r="G16">
        <v>35000</v>
      </c>
      <c r="H16">
        <v>45000</v>
      </c>
      <c r="I16">
        <v>40000</v>
      </c>
      <c r="J16" t="s">
        <v>8</v>
      </c>
      <c r="K16" t="s">
        <v>44</v>
      </c>
    </row>
    <row r="17" spans="1:11" x14ac:dyDescent="0.25">
      <c r="A17" t="s">
        <v>121</v>
      </c>
      <c r="B17" t="s">
        <v>122</v>
      </c>
      <c r="C17" t="s">
        <v>114</v>
      </c>
      <c r="D17" t="s">
        <v>97</v>
      </c>
      <c r="E17" t="s">
        <v>31</v>
      </c>
      <c r="F17" t="s">
        <v>32</v>
      </c>
      <c r="J17" t="s">
        <v>6</v>
      </c>
      <c r="K17" t="s">
        <v>99</v>
      </c>
    </row>
    <row r="18" spans="1:11" x14ac:dyDescent="0.25">
      <c r="A18" t="s">
        <v>123</v>
      </c>
      <c r="B18" t="s">
        <v>124</v>
      </c>
      <c r="C18" t="s">
        <v>125</v>
      </c>
      <c r="D18" t="s">
        <v>71</v>
      </c>
      <c r="E18" t="s">
        <v>31</v>
      </c>
      <c r="F18" t="s">
        <v>32</v>
      </c>
      <c r="J18" t="s">
        <v>6</v>
      </c>
      <c r="K18" t="s">
        <v>72</v>
      </c>
    </row>
    <row r="19" spans="1:11" x14ac:dyDescent="0.25">
      <c r="A19" t="s">
        <v>126</v>
      </c>
      <c r="B19" t="s">
        <v>127</v>
      </c>
      <c r="C19" t="s">
        <v>128</v>
      </c>
      <c r="D19" t="s">
        <v>129</v>
      </c>
      <c r="E19" t="s">
        <v>130</v>
      </c>
      <c r="F19" t="s">
        <v>26</v>
      </c>
      <c r="G19">
        <v>38000</v>
      </c>
      <c r="H19">
        <v>42000</v>
      </c>
      <c r="I19">
        <v>40000</v>
      </c>
      <c r="J19" t="s">
        <v>6</v>
      </c>
      <c r="K19" t="s">
        <v>131</v>
      </c>
    </row>
    <row r="20" spans="1:11" x14ac:dyDescent="0.25">
      <c r="A20" t="s">
        <v>132</v>
      </c>
      <c r="B20" t="s">
        <v>133</v>
      </c>
      <c r="C20" t="s">
        <v>134</v>
      </c>
      <c r="D20" t="s">
        <v>30</v>
      </c>
      <c r="E20" t="s">
        <v>31</v>
      </c>
      <c r="F20" t="s">
        <v>32</v>
      </c>
      <c r="J20" t="s">
        <v>8</v>
      </c>
      <c r="K20" t="s">
        <v>33</v>
      </c>
    </row>
    <row r="21" spans="1:11" x14ac:dyDescent="0.25">
      <c r="A21" t="s">
        <v>135</v>
      </c>
      <c r="B21" t="s">
        <v>136</v>
      </c>
      <c r="C21" t="s">
        <v>137</v>
      </c>
      <c r="D21" t="s">
        <v>25</v>
      </c>
      <c r="E21" t="s">
        <v>138</v>
      </c>
      <c r="F21" t="s">
        <v>26</v>
      </c>
      <c r="G21">
        <v>40000</v>
      </c>
      <c r="H21">
        <v>55000</v>
      </c>
      <c r="I21">
        <v>47500</v>
      </c>
      <c r="J21" t="s">
        <v>8</v>
      </c>
      <c r="K21" t="s">
        <v>27</v>
      </c>
    </row>
    <row r="22" spans="1:11" x14ac:dyDescent="0.25">
      <c r="A22" t="s">
        <v>139</v>
      </c>
      <c r="B22" t="s">
        <v>140</v>
      </c>
      <c r="C22" t="s">
        <v>141</v>
      </c>
      <c r="D22" t="s">
        <v>38</v>
      </c>
      <c r="E22" t="s">
        <v>61</v>
      </c>
      <c r="F22" t="s">
        <v>26</v>
      </c>
      <c r="G22">
        <v>45000</v>
      </c>
      <c r="H22">
        <v>45000</v>
      </c>
      <c r="I22">
        <v>45000</v>
      </c>
      <c r="J22" t="s">
        <v>8</v>
      </c>
      <c r="K22" t="s">
        <v>39</v>
      </c>
    </row>
    <row r="23" spans="1:11" x14ac:dyDescent="0.25">
      <c r="A23" t="s">
        <v>109</v>
      </c>
      <c r="B23" t="s">
        <v>142</v>
      </c>
      <c r="C23" t="s">
        <v>143</v>
      </c>
      <c r="D23" t="s">
        <v>36</v>
      </c>
      <c r="E23" t="s">
        <v>31</v>
      </c>
      <c r="F23" t="s">
        <v>32</v>
      </c>
      <c r="J23" t="s">
        <v>8</v>
      </c>
      <c r="K23" t="s">
        <v>37</v>
      </c>
    </row>
    <row r="24" spans="1:11" x14ac:dyDescent="0.25">
      <c r="A24" t="s">
        <v>144</v>
      </c>
      <c r="B24" t="s">
        <v>145</v>
      </c>
      <c r="C24" t="s">
        <v>146</v>
      </c>
      <c r="D24" t="s">
        <v>147</v>
      </c>
      <c r="E24" t="s">
        <v>31</v>
      </c>
      <c r="F24" t="s">
        <v>32</v>
      </c>
      <c r="J24" t="s">
        <v>8</v>
      </c>
      <c r="K24" t="s">
        <v>148</v>
      </c>
    </row>
    <row r="25" spans="1:11" x14ac:dyDescent="0.25">
      <c r="A25" t="s">
        <v>149</v>
      </c>
      <c r="B25" t="s">
        <v>150</v>
      </c>
      <c r="C25" t="s">
        <v>151</v>
      </c>
      <c r="D25" t="s">
        <v>28</v>
      </c>
      <c r="E25" t="s">
        <v>152</v>
      </c>
      <c r="F25" t="s">
        <v>26</v>
      </c>
      <c r="G25">
        <v>37000</v>
      </c>
      <c r="H25">
        <v>55000</v>
      </c>
      <c r="I25">
        <v>46000</v>
      </c>
      <c r="J25" t="s">
        <v>8</v>
      </c>
      <c r="K25" t="s">
        <v>29</v>
      </c>
    </row>
    <row r="26" spans="1:11" x14ac:dyDescent="0.25">
      <c r="A26" t="s">
        <v>153</v>
      </c>
      <c r="B26" t="s">
        <v>154</v>
      </c>
      <c r="C26" t="s">
        <v>155</v>
      </c>
      <c r="D26" t="s">
        <v>97</v>
      </c>
      <c r="E26" t="s">
        <v>156</v>
      </c>
      <c r="F26" t="s">
        <v>26</v>
      </c>
      <c r="G26">
        <v>35000</v>
      </c>
      <c r="H26">
        <v>42000</v>
      </c>
      <c r="I26">
        <v>38500</v>
      </c>
      <c r="J26" t="s">
        <v>6</v>
      </c>
      <c r="K26" t="s">
        <v>99</v>
      </c>
    </row>
    <row r="27" spans="1:11" x14ac:dyDescent="0.25">
      <c r="A27" t="s">
        <v>109</v>
      </c>
      <c r="B27" t="s">
        <v>157</v>
      </c>
      <c r="C27" t="s">
        <v>158</v>
      </c>
      <c r="D27" t="s">
        <v>159</v>
      </c>
      <c r="E27" t="s">
        <v>160</v>
      </c>
      <c r="F27" t="s">
        <v>26</v>
      </c>
      <c r="G27">
        <v>37000</v>
      </c>
      <c r="H27">
        <v>45000</v>
      </c>
      <c r="I27">
        <v>41000</v>
      </c>
      <c r="J27" t="s">
        <v>8</v>
      </c>
      <c r="K27" t="s">
        <v>161</v>
      </c>
    </row>
    <row r="28" spans="1:11" x14ac:dyDescent="0.25">
      <c r="A28" t="s">
        <v>162</v>
      </c>
      <c r="B28" t="s">
        <v>163</v>
      </c>
      <c r="C28" t="s">
        <v>164</v>
      </c>
      <c r="D28" t="s">
        <v>34</v>
      </c>
      <c r="E28" t="s">
        <v>31</v>
      </c>
      <c r="F28" t="s">
        <v>32</v>
      </c>
      <c r="J28" t="s">
        <v>6</v>
      </c>
      <c r="K28" t="s">
        <v>35</v>
      </c>
    </row>
    <row r="29" spans="1:11" x14ac:dyDescent="0.25">
      <c r="A29" t="s">
        <v>165</v>
      </c>
      <c r="B29" t="s">
        <v>166</v>
      </c>
      <c r="C29" t="s">
        <v>167</v>
      </c>
      <c r="D29" t="s">
        <v>34</v>
      </c>
      <c r="E29" t="s">
        <v>31</v>
      </c>
      <c r="F29" t="s">
        <v>32</v>
      </c>
      <c r="J29" t="s">
        <v>6</v>
      </c>
      <c r="K29" t="s">
        <v>35</v>
      </c>
    </row>
    <row r="30" spans="1:11" x14ac:dyDescent="0.25">
      <c r="A30" t="s">
        <v>109</v>
      </c>
      <c r="B30" t="s">
        <v>168</v>
      </c>
      <c r="C30" t="s">
        <v>169</v>
      </c>
      <c r="D30" t="s">
        <v>170</v>
      </c>
      <c r="E30" t="s">
        <v>107</v>
      </c>
      <c r="F30" t="s">
        <v>26</v>
      </c>
      <c r="G30">
        <v>34000</v>
      </c>
      <c r="H30">
        <v>40000</v>
      </c>
      <c r="I30">
        <v>37000</v>
      </c>
      <c r="J30" t="s">
        <v>8</v>
      </c>
      <c r="K30" t="s">
        <v>171</v>
      </c>
    </row>
    <row r="31" spans="1:11" x14ac:dyDescent="0.25">
      <c r="A31" t="s">
        <v>172</v>
      </c>
      <c r="B31" t="s">
        <v>173</v>
      </c>
      <c r="C31" t="s">
        <v>174</v>
      </c>
      <c r="D31" t="s">
        <v>36</v>
      </c>
      <c r="E31" t="s">
        <v>86</v>
      </c>
      <c r="F31" t="s">
        <v>26</v>
      </c>
      <c r="G31">
        <v>40000</v>
      </c>
      <c r="H31">
        <v>40000</v>
      </c>
      <c r="I31">
        <v>40000</v>
      </c>
      <c r="J31" t="s">
        <v>8</v>
      </c>
      <c r="K31" t="s">
        <v>37</v>
      </c>
    </row>
    <row r="32" spans="1:11" x14ac:dyDescent="0.25">
      <c r="A32" t="s">
        <v>109</v>
      </c>
      <c r="B32" t="s">
        <v>175</v>
      </c>
      <c r="C32" t="s">
        <v>176</v>
      </c>
      <c r="D32" t="s">
        <v>66</v>
      </c>
      <c r="E32" t="s">
        <v>45</v>
      </c>
      <c r="F32" t="s">
        <v>26</v>
      </c>
      <c r="G32">
        <v>32000</v>
      </c>
      <c r="H32">
        <v>35000</v>
      </c>
      <c r="I32">
        <v>33500</v>
      </c>
      <c r="J32" t="s">
        <v>8</v>
      </c>
      <c r="K32" t="s">
        <v>68</v>
      </c>
    </row>
    <row r="33" spans="1:11" x14ac:dyDescent="0.25">
      <c r="A33" t="s">
        <v>177</v>
      </c>
      <c r="B33" t="s">
        <v>178</v>
      </c>
      <c r="C33" t="s">
        <v>179</v>
      </c>
      <c r="D33" t="s">
        <v>28</v>
      </c>
      <c r="E33" t="s">
        <v>31</v>
      </c>
      <c r="F33" t="s">
        <v>32</v>
      </c>
      <c r="J33" t="s">
        <v>8</v>
      </c>
      <c r="K33" t="s">
        <v>29</v>
      </c>
    </row>
    <row r="34" spans="1:11" x14ac:dyDescent="0.25">
      <c r="A34" t="s">
        <v>118</v>
      </c>
      <c r="B34" t="s">
        <v>180</v>
      </c>
      <c r="C34" t="s">
        <v>181</v>
      </c>
      <c r="D34" t="s">
        <v>60</v>
      </c>
      <c r="E34" t="s">
        <v>31</v>
      </c>
      <c r="F34" t="s">
        <v>32</v>
      </c>
      <c r="J34" t="s">
        <v>6</v>
      </c>
      <c r="K34" t="s">
        <v>62</v>
      </c>
    </row>
    <row r="35" spans="1:11" x14ac:dyDescent="0.25">
      <c r="A35" t="s">
        <v>182</v>
      </c>
      <c r="B35" t="s">
        <v>183</v>
      </c>
      <c r="C35" t="s">
        <v>184</v>
      </c>
      <c r="D35" t="s">
        <v>25</v>
      </c>
      <c r="E35" t="s">
        <v>31</v>
      </c>
      <c r="F35" t="s">
        <v>32</v>
      </c>
      <c r="J35" t="s">
        <v>8</v>
      </c>
      <c r="K35" t="s">
        <v>27</v>
      </c>
    </row>
    <row r="36" spans="1:11" x14ac:dyDescent="0.25">
      <c r="A36" t="s">
        <v>185</v>
      </c>
      <c r="B36" t="s">
        <v>186</v>
      </c>
      <c r="C36" t="s">
        <v>187</v>
      </c>
      <c r="D36" t="s">
        <v>97</v>
      </c>
      <c r="E36" t="s">
        <v>188</v>
      </c>
      <c r="F36" t="s">
        <v>26</v>
      </c>
      <c r="G36">
        <v>38000</v>
      </c>
      <c r="H36">
        <v>38000</v>
      </c>
      <c r="I36">
        <v>38000</v>
      </c>
      <c r="J36" t="s">
        <v>6</v>
      </c>
      <c r="K36" t="s">
        <v>99</v>
      </c>
    </row>
    <row r="37" spans="1:11" x14ac:dyDescent="0.25">
      <c r="A37" t="s">
        <v>189</v>
      </c>
      <c r="B37" t="s">
        <v>190</v>
      </c>
      <c r="C37" t="s">
        <v>191</v>
      </c>
      <c r="D37" t="s">
        <v>66</v>
      </c>
      <c r="E37" t="s">
        <v>192</v>
      </c>
      <c r="F37" t="s">
        <v>26</v>
      </c>
      <c r="G37">
        <v>50000</v>
      </c>
      <c r="H37">
        <v>50000</v>
      </c>
      <c r="I37">
        <v>50000</v>
      </c>
      <c r="J37" t="s">
        <v>8</v>
      </c>
      <c r="K37" t="s">
        <v>68</v>
      </c>
    </row>
    <row r="38" spans="1:11" x14ac:dyDescent="0.25">
      <c r="A38" t="s">
        <v>109</v>
      </c>
      <c r="B38" t="s">
        <v>193</v>
      </c>
      <c r="C38" t="s">
        <v>194</v>
      </c>
      <c r="D38" t="s">
        <v>36</v>
      </c>
      <c r="E38" t="s">
        <v>195</v>
      </c>
      <c r="F38" t="s">
        <v>26</v>
      </c>
      <c r="G38">
        <v>28590</v>
      </c>
      <c r="H38">
        <v>39000</v>
      </c>
      <c r="I38">
        <v>33795</v>
      </c>
      <c r="J38" t="s">
        <v>8</v>
      </c>
      <c r="K38" t="s">
        <v>37</v>
      </c>
    </row>
    <row r="39" spans="1:11" x14ac:dyDescent="0.25">
      <c r="A39" t="s">
        <v>63</v>
      </c>
      <c r="B39" t="s">
        <v>196</v>
      </c>
      <c r="C39" t="s">
        <v>65</v>
      </c>
      <c r="D39" t="s">
        <v>66</v>
      </c>
      <c r="E39" t="s">
        <v>67</v>
      </c>
      <c r="F39" t="s">
        <v>26</v>
      </c>
      <c r="G39">
        <v>42000</v>
      </c>
      <c r="H39">
        <v>46000</v>
      </c>
      <c r="I39">
        <v>44000</v>
      </c>
      <c r="J39" t="s">
        <v>8</v>
      </c>
      <c r="K39" t="s">
        <v>68</v>
      </c>
    </row>
    <row r="40" spans="1:11" x14ac:dyDescent="0.25">
      <c r="A40" t="s">
        <v>197</v>
      </c>
      <c r="B40" t="s">
        <v>198</v>
      </c>
      <c r="C40" t="s">
        <v>199</v>
      </c>
      <c r="D40" t="s">
        <v>200</v>
      </c>
      <c r="E40" t="s">
        <v>201</v>
      </c>
      <c r="F40" t="s">
        <v>26</v>
      </c>
      <c r="G40">
        <v>55000</v>
      </c>
      <c r="H40">
        <v>55000</v>
      </c>
      <c r="I40">
        <v>55000</v>
      </c>
      <c r="J40" t="s">
        <v>8</v>
      </c>
      <c r="K40" t="s">
        <v>202</v>
      </c>
    </row>
    <row r="41" spans="1:11" x14ac:dyDescent="0.25">
      <c r="A41" t="s">
        <v>203</v>
      </c>
      <c r="B41" t="s">
        <v>204</v>
      </c>
      <c r="C41" t="s">
        <v>205</v>
      </c>
      <c r="D41" t="s">
        <v>66</v>
      </c>
      <c r="E41" t="s">
        <v>206</v>
      </c>
      <c r="F41" t="s">
        <v>26</v>
      </c>
      <c r="G41">
        <v>50000</v>
      </c>
      <c r="H41">
        <v>55000</v>
      </c>
      <c r="I41">
        <v>52500</v>
      </c>
      <c r="J41" t="s">
        <v>8</v>
      </c>
      <c r="K41" t="s">
        <v>68</v>
      </c>
    </row>
    <row r="42" spans="1:11" x14ac:dyDescent="0.25">
      <c r="A42" t="s">
        <v>207</v>
      </c>
      <c r="B42" t="s">
        <v>208</v>
      </c>
      <c r="C42" t="s">
        <v>209</v>
      </c>
      <c r="D42" t="s">
        <v>34</v>
      </c>
      <c r="E42" t="s">
        <v>210</v>
      </c>
      <c r="F42" t="s">
        <v>26</v>
      </c>
      <c r="G42">
        <v>30000</v>
      </c>
      <c r="H42">
        <v>45000</v>
      </c>
      <c r="I42">
        <v>37500</v>
      </c>
      <c r="J42" t="s">
        <v>6</v>
      </c>
      <c r="K42" t="s">
        <v>35</v>
      </c>
    </row>
    <row r="43" spans="1:11" x14ac:dyDescent="0.25">
      <c r="A43" t="s">
        <v>203</v>
      </c>
      <c r="B43" t="s">
        <v>211</v>
      </c>
      <c r="C43" t="s">
        <v>212</v>
      </c>
      <c r="D43" t="s">
        <v>66</v>
      </c>
      <c r="E43" t="s">
        <v>31</v>
      </c>
      <c r="F43" t="s">
        <v>32</v>
      </c>
      <c r="J43" t="s">
        <v>8</v>
      </c>
      <c r="K43" t="s">
        <v>68</v>
      </c>
    </row>
    <row r="44" spans="1:11" x14ac:dyDescent="0.25">
      <c r="A44" t="s">
        <v>213</v>
      </c>
      <c r="B44" t="s">
        <v>214</v>
      </c>
      <c r="C44" t="s">
        <v>40</v>
      </c>
      <c r="D44" t="s">
        <v>25</v>
      </c>
      <c r="E44" t="s">
        <v>215</v>
      </c>
      <c r="F44" t="s">
        <v>26</v>
      </c>
      <c r="G44">
        <v>35000</v>
      </c>
      <c r="H44">
        <v>38000</v>
      </c>
      <c r="I44">
        <v>36500</v>
      </c>
      <c r="J44" t="s">
        <v>8</v>
      </c>
      <c r="K44" t="s">
        <v>27</v>
      </c>
    </row>
    <row r="45" spans="1:11" x14ac:dyDescent="0.25">
      <c r="A45" t="s">
        <v>216</v>
      </c>
      <c r="B45" t="s">
        <v>217</v>
      </c>
      <c r="C45" t="s">
        <v>218</v>
      </c>
      <c r="D45" t="s">
        <v>38</v>
      </c>
      <c r="E45" t="s">
        <v>31</v>
      </c>
      <c r="F45" t="s">
        <v>32</v>
      </c>
      <c r="J45" t="s">
        <v>8</v>
      </c>
      <c r="K45" t="s">
        <v>39</v>
      </c>
    </row>
    <row r="46" spans="1:11" x14ac:dyDescent="0.25">
      <c r="A46" t="s">
        <v>109</v>
      </c>
      <c r="B46" t="s">
        <v>219</v>
      </c>
      <c r="C46" t="s">
        <v>220</v>
      </c>
      <c r="D46" t="s">
        <v>170</v>
      </c>
      <c r="E46" t="s">
        <v>41</v>
      </c>
      <c r="F46" t="s">
        <v>26</v>
      </c>
      <c r="G46">
        <v>36000</v>
      </c>
      <c r="H46">
        <v>38000</v>
      </c>
      <c r="I46">
        <v>37000</v>
      </c>
      <c r="J46" t="s">
        <v>8</v>
      </c>
      <c r="K46" t="s">
        <v>171</v>
      </c>
    </row>
    <row r="47" spans="1:11" x14ac:dyDescent="0.25">
      <c r="A47" t="s">
        <v>109</v>
      </c>
      <c r="B47" t="s">
        <v>221</v>
      </c>
      <c r="C47" t="s">
        <v>222</v>
      </c>
      <c r="D47" t="s">
        <v>25</v>
      </c>
      <c r="E47" t="s">
        <v>31</v>
      </c>
      <c r="F47" t="s">
        <v>32</v>
      </c>
      <c r="J47" t="s">
        <v>8</v>
      </c>
      <c r="K47" t="s">
        <v>27</v>
      </c>
    </row>
    <row r="48" spans="1:11" x14ac:dyDescent="0.25">
      <c r="A48" t="s">
        <v>203</v>
      </c>
      <c r="B48" t="s">
        <v>223</v>
      </c>
      <c r="C48" t="s">
        <v>224</v>
      </c>
      <c r="D48" t="s">
        <v>106</v>
      </c>
      <c r="E48" t="s">
        <v>31</v>
      </c>
      <c r="F48" t="s">
        <v>32</v>
      </c>
      <c r="J48" t="s">
        <v>6</v>
      </c>
      <c r="K48" t="s">
        <v>108</v>
      </c>
    </row>
    <row r="49" spans="1:11" x14ac:dyDescent="0.25">
      <c r="A49" t="s">
        <v>109</v>
      </c>
      <c r="B49" t="s">
        <v>225</v>
      </c>
      <c r="C49" t="s">
        <v>226</v>
      </c>
      <c r="D49" t="s">
        <v>42</v>
      </c>
      <c r="E49" t="s">
        <v>227</v>
      </c>
      <c r="F49" t="s">
        <v>26</v>
      </c>
      <c r="G49">
        <v>45000</v>
      </c>
      <c r="H49">
        <v>50000</v>
      </c>
      <c r="I49">
        <v>47500</v>
      </c>
      <c r="J49" t="s">
        <v>8</v>
      </c>
      <c r="K49" t="s">
        <v>44</v>
      </c>
    </row>
    <row r="50" spans="1:11" x14ac:dyDescent="0.25">
      <c r="A50" t="s">
        <v>228</v>
      </c>
      <c r="B50" t="s">
        <v>229</v>
      </c>
      <c r="C50" t="s">
        <v>230</v>
      </c>
      <c r="D50" t="s">
        <v>80</v>
      </c>
      <c r="E50" t="s">
        <v>31</v>
      </c>
      <c r="F50" t="s">
        <v>32</v>
      </c>
      <c r="J50" t="s">
        <v>6</v>
      </c>
      <c r="K50" t="s">
        <v>82</v>
      </c>
    </row>
    <row r="51" spans="1:11" x14ac:dyDescent="0.25">
      <c r="A51" t="s">
        <v>231</v>
      </c>
      <c r="B51" t="s">
        <v>232</v>
      </c>
      <c r="C51" t="s">
        <v>233</v>
      </c>
      <c r="D51" t="s">
        <v>234</v>
      </c>
      <c r="E51" t="s">
        <v>31</v>
      </c>
      <c r="F51" t="s">
        <v>32</v>
      </c>
      <c r="J51" t="s">
        <v>8</v>
      </c>
      <c r="K51" t="s">
        <v>235</v>
      </c>
    </row>
    <row r="52" spans="1:11" x14ac:dyDescent="0.25">
      <c r="A52" t="s">
        <v>236</v>
      </c>
      <c r="B52" t="s">
        <v>237</v>
      </c>
      <c r="C52" t="s">
        <v>238</v>
      </c>
      <c r="D52" t="s">
        <v>97</v>
      </c>
      <c r="E52" t="s">
        <v>138</v>
      </c>
      <c r="F52" t="s">
        <v>26</v>
      </c>
      <c r="G52">
        <v>40000</v>
      </c>
      <c r="H52">
        <v>55000</v>
      </c>
      <c r="I52">
        <v>47500</v>
      </c>
      <c r="J52" t="s">
        <v>6</v>
      </c>
      <c r="K52" t="s">
        <v>99</v>
      </c>
    </row>
    <row r="53" spans="1:11" x14ac:dyDescent="0.25">
      <c r="A53" t="s">
        <v>239</v>
      </c>
      <c r="B53" t="s">
        <v>240</v>
      </c>
      <c r="C53" t="s">
        <v>241</v>
      </c>
      <c r="D53" t="s">
        <v>97</v>
      </c>
      <c r="E53" t="s">
        <v>242</v>
      </c>
      <c r="F53" t="s">
        <v>26</v>
      </c>
      <c r="G53">
        <v>60000</v>
      </c>
      <c r="H53">
        <v>65000</v>
      </c>
      <c r="I53">
        <v>62500</v>
      </c>
      <c r="J53" t="s">
        <v>6</v>
      </c>
      <c r="K53" t="s">
        <v>99</v>
      </c>
    </row>
    <row r="54" spans="1:11" x14ac:dyDescent="0.25">
      <c r="A54" t="s">
        <v>243</v>
      </c>
      <c r="B54" t="s">
        <v>244</v>
      </c>
      <c r="C54" t="s">
        <v>245</v>
      </c>
      <c r="D54" t="s">
        <v>246</v>
      </c>
      <c r="E54" t="s">
        <v>43</v>
      </c>
      <c r="F54" t="s">
        <v>26</v>
      </c>
      <c r="G54">
        <v>35000</v>
      </c>
      <c r="H54">
        <v>45000</v>
      </c>
      <c r="I54">
        <v>40000</v>
      </c>
      <c r="J54" t="s">
        <v>6</v>
      </c>
      <c r="K54" t="s">
        <v>247</v>
      </c>
    </row>
    <row r="55" spans="1:11" x14ac:dyDescent="0.25">
      <c r="A55" t="s">
        <v>248</v>
      </c>
      <c r="B55" t="s">
        <v>249</v>
      </c>
      <c r="C55" t="s">
        <v>250</v>
      </c>
      <c r="D55" t="s">
        <v>34</v>
      </c>
      <c r="E55" t="s">
        <v>31</v>
      </c>
      <c r="F55" t="s">
        <v>32</v>
      </c>
      <c r="J55" t="s">
        <v>6</v>
      </c>
      <c r="K55" t="s">
        <v>35</v>
      </c>
    </row>
    <row r="56" spans="1:11" x14ac:dyDescent="0.25">
      <c r="A56" t="s">
        <v>251</v>
      </c>
      <c r="B56" t="s">
        <v>252</v>
      </c>
      <c r="C56" t="s">
        <v>253</v>
      </c>
      <c r="D56" t="s">
        <v>28</v>
      </c>
      <c r="E56" t="s">
        <v>254</v>
      </c>
      <c r="F56" t="s">
        <v>26</v>
      </c>
      <c r="G56">
        <v>45000</v>
      </c>
      <c r="H56">
        <v>60000</v>
      </c>
      <c r="I56">
        <v>52500</v>
      </c>
      <c r="J56" t="s">
        <v>8</v>
      </c>
      <c r="K56" t="s">
        <v>29</v>
      </c>
    </row>
    <row r="57" spans="1:11" x14ac:dyDescent="0.25">
      <c r="A57" t="s">
        <v>109</v>
      </c>
      <c r="B57" t="s">
        <v>255</v>
      </c>
      <c r="C57" t="s">
        <v>256</v>
      </c>
      <c r="D57" t="s">
        <v>147</v>
      </c>
      <c r="E57" t="s">
        <v>31</v>
      </c>
      <c r="F57" t="s">
        <v>32</v>
      </c>
      <c r="J57" t="s">
        <v>8</v>
      </c>
      <c r="K57" t="s">
        <v>148</v>
      </c>
    </row>
    <row r="58" spans="1:11" x14ac:dyDescent="0.25">
      <c r="A58" t="s">
        <v>149</v>
      </c>
      <c r="B58" t="s">
        <v>257</v>
      </c>
      <c r="C58" t="s">
        <v>151</v>
      </c>
      <c r="D58" t="s">
        <v>258</v>
      </c>
      <c r="E58" t="s">
        <v>152</v>
      </c>
      <c r="F58" t="s">
        <v>26</v>
      </c>
      <c r="G58">
        <v>37000</v>
      </c>
      <c r="H58">
        <v>55000</v>
      </c>
      <c r="I58">
        <v>46000</v>
      </c>
      <c r="J58" t="s">
        <v>8</v>
      </c>
      <c r="K58" t="s">
        <v>259</v>
      </c>
    </row>
    <row r="59" spans="1:11" x14ac:dyDescent="0.25">
      <c r="A59" t="s">
        <v>260</v>
      </c>
      <c r="B59" t="s">
        <v>261</v>
      </c>
      <c r="C59" t="s">
        <v>262</v>
      </c>
      <c r="D59" t="s">
        <v>28</v>
      </c>
      <c r="E59" t="s">
        <v>263</v>
      </c>
      <c r="F59" t="s">
        <v>26</v>
      </c>
      <c r="G59">
        <v>40000</v>
      </c>
      <c r="H59">
        <v>50000</v>
      </c>
      <c r="I59">
        <v>45000</v>
      </c>
      <c r="J59" t="s">
        <v>8</v>
      </c>
      <c r="K59" t="s">
        <v>29</v>
      </c>
    </row>
    <row r="60" spans="1:11" x14ac:dyDescent="0.25">
      <c r="A60" t="s">
        <v>264</v>
      </c>
      <c r="B60" t="s">
        <v>265</v>
      </c>
      <c r="C60" t="s">
        <v>266</v>
      </c>
      <c r="D60" t="s">
        <v>25</v>
      </c>
      <c r="E60" t="s">
        <v>31</v>
      </c>
      <c r="F60" t="s">
        <v>32</v>
      </c>
      <c r="J60" t="s">
        <v>8</v>
      </c>
      <c r="K60" t="s">
        <v>27</v>
      </c>
    </row>
    <row r="61" spans="1:11" x14ac:dyDescent="0.25">
      <c r="A61" t="s">
        <v>267</v>
      </c>
      <c r="B61" t="s">
        <v>268</v>
      </c>
      <c r="C61" t="s">
        <v>269</v>
      </c>
      <c r="D61" t="s">
        <v>36</v>
      </c>
      <c r="E61" t="s">
        <v>31</v>
      </c>
      <c r="F61" t="s">
        <v>32</v>
      </c>
      <c r="J61" t="s">
        <v>8</v>
      </c>
      <c r="K61" t="s">
        <v>37</v>
      </c>
    </row>
    <row r="62" spans="1:11" x14ac:dyDescent="0.25">
      <c r="A62" t="s">
        <v>270</v>
      </c>
      <c r="B62" t="s">
        <v>271</v>
      </c>
      <c r="C62" t="s">
        <v>272</v>
      </c>
      <c r="D62" t="s">
        <v>42</v>
      </c>
      <c r="E62" t="s">
        <v>273</v>
      </c>
      <c r="F62" t="s">
        <v>26</v>
      </c>
      <c r="G62">
        <v>45000</v>
      </c>
      <c r="H62">
        <v>57000</v>
      </c>
      <c r="I62">
        <v>51000</v>
      </c>
      <c r="J62" t="s">
        <v>8</v>
      </c>
      <c r="K62" t="s">
        <v>44</v>
      </c>
    </row>
    <row r="63" spans="1:11" x14ac:dyDescent="0.25">
      <c r="A63" t="s">
        <v>279</v>
      </c>
      <c r="B63" t="s">
        <v>280</v>
      </c>
      <c r="C63" t="s">
        <v>281</v>
      </c>
      <c r="D63" t="s">
        <v>129</v>
      </c>
      <c r="E63" t="s">
        <v>98</v>
      </c>
      <c r="F63" t="s">
        <v>26</v>
      </c>
      <c r="G63">
        <v>30000</v>
      </c>
      <c r="H63">
        <v>50000</v>
      </c>
      <c r="I63">
        <v>40000</v>
      </c>
      <c r="J63" t="s">
        <v>6</v>
      </c>
      <c r="K63" t="s">
        <v>131</v>
      </c>
    </row>
    <row r="64" spans="1:11" x14ac:dyDescent="0.25">
      <c r="A64" t="s">
        <v>274</v>
      </c>
      <c r="B64" t="s">
        <v>275</v>
      </c>
      <c r="C64" t="s">
        <v>276</v>
      </c>
      <c r="D64" t="s">
        <v>80</v>
      </c>
      <c r="E64" t="s">
        <v>31</v>
      </c>
      <c r="F64" t="s">
        <v>32</v>
      </c>
      <c r="J64" t="s">
        <v>6</v>
      </c>
      <c r="K64" t="s">
        <v>82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tabSelected="1" workbookViewId="0">
      <selection activeCell="H16" sqref="H16"/>
    </sheetView>
  </sheetViews>
  <sheetFormatPr defaultRowHeight="15.75" x14ac:dyDescent="0.25"/>
  <sheetData>
    <row r="1" spans="1:1" x14ac:dyDescent="0.25">
      <c r="A1" s="6"/>
    </row>
    <row r="3" spans="1:1" x14ac:dyDescent="0.25">
      <c r="A3" s="6" t="s">
        <v>282</v>
      </c>
    </row>
  </sheetData>
  <phoneticPr fontId="1" type="noConversion"/>
  <hyperlinks>
    <hyperlink ref="A3" r:id="rId1" display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xr:uid="{8C8BF56C-E6C0-45E5-93F5-FC6CDAC6387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index</vt:lpstr>
      <vt:lpstr>setting</vt:lpstr>
      <vt:lpstr>職缺</vt:lpstr>
      <vt:lpstr>人力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2025-04-28T05:05:54Z</dcterms:modified>
</cp:coreProperties>
</file>