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68D6D57E-77B0-489C-9D0A-D3C6D86743E9}" xr6:coauthVersionLast="47" xr6:coauthVersionMax="47" xr10:uidLastSave="{00000000-0000-0000-0000-000000000000}"/>
  <bookViews>
    <workbookView xWindow="25800" yWindow="0" windowWidth="25800" windowHeight="21150" activeTab="1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<sst xmlns="http://schemas.openxmlformats.org/spreadsheetml/2006/main" count="1723" uniqueCount="760">
  <si>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</si>
  <si>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</si>
  <si>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</si>
  <si>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</si>
  <si>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</si>
  <si>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</si>
  <si>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</si>
  <si>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</si>
  <si>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</si>
  <si>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</si>
  <si>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</si>
  <si>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</si>
  <si>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</si>
  <si>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</si>
  <si>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</si>
  <si>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</si>
  <si>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</si>
  <si>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</si>
  <si>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</si>
  <si>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</si>
  <si>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</si>
  <si>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</si>
  <si>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</si>
  <si>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</si>
  <si>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</si>
  <si>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</si>
  <si>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</si>
  <si>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</si>
  <si>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</si>
  <si>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</si>
  <si>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</si>
  <si>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</si>
  <si>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</si>
  <si>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</si>
  <si>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</si>
  <si>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</si>
  <si>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</si>
  <si>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</si>
  <si>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</si>
  <si>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</si>
  <si>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</si>
  <si>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</si>
  <si>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</si>
  <si>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</si>
  <si>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</si>
  <si>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</si>
  <si>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</si>
  <si>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</si>
  <si>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</si>
  <si>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</si>
  <si>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</si>
  <si>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</si>
  <si>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</si>
  <si>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</si>
  <si>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</si>
  <si>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</si>
  <si>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</si>
  <si>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</si>
  <si>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</si>
  <si>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</si>
  <si>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</si>
  <si>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</si>
  <si>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</si>
  <si>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</si>
  <si>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</si>
  <si>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</si>
  <si>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</si>
  <si>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</si>
  <si>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</si>
  <si>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</si>
  <si>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</si>
  <si>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</si>
  <si>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</si>
  <si>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</si>
  <si>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</si>
  <si>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</si>
  <si>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</si>
  <si>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</si>
  <si>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</si>
  <si>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</si>
  <si>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</si>
  <si>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</si>
  <si>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</si>
  <si>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</si>
  <si>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</si>
  <si>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</si>
  <si>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</si>
  <si>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</si>
  <si>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</si>
  <si>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</si>
  <si>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</si>
  <si>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</si>
  <si>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</si>
  <si>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</si>
  <si>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</si>
  <si>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</si>
  <si>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</si>
  <si>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</si>
  <si>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</si>
  <si>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</si>
  <si>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</si>
  <si>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</si>
  <si>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</si>
  <si>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</si>
  <si>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</si>
  <si>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</si>
  <si>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</si>
  <si>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</si>
  <si>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</si>
  <si>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</si>
  <si>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</si>
  <si>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</si>
  <si>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</si>
  <si>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</si>
  <si>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</si>
  <si>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</si>
  <si>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</si>
  <si>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</si>
  <si>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</si>
  <si>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</si>
  <si>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</si>
  <si>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</si>
  <si>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</si>
  <si>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</si>
  <si>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</si>
  <si>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</si>
  <si>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</si>
  <si>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</si>
  <si>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</si>
  <si>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</si>
  <si>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</si>
  <si>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</si>
  <si>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</si>
  <si>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</si>
  <si>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</si>
  <si>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</si>
  <si>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</si>
  <si>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</si>
  <si>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</si>
  <si>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</si>
  <si>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</si>
  <si>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</si>
  <si>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</si>
  <si>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</si>
  <si>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</si>
  <si>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</si>
  <si>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</si>
  <si>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</si>
  <si>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</si>
  <si>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</si>
  <si>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</si>
  <si>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</si>
  <si>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</si>
  <si>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</si>
  <si>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</si>
  <si>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</si>
  <si>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</si>
  <si>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</si>
  <si>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</si>
  <si>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</si>
  <si>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</si>
  <si>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</si>
  <si>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</si>
  <si>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</si>
  <si>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</si>
  <si>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</si>
  <si>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</si>
  <si>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</si>
  <si>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</si>
  <si>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</si>
  <si>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</si>
  <si>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</si>
  <si>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</si>
  <si>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</si>
  <si>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</si>
  <si>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</si>
  <si>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</si>
  <si>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</si>
  <si>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</si>
  <si>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</si>
  <si>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</si>
  <si>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</si>
  <si>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</si>
  <si>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</si>
  <si>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</si>
  <si>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</si>
  <si>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</si>
  <si>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</si>
  <si>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</si>
  <si>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</si>
  <si>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</si>
  <si>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</si>
  <si>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</si>
  <si>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</si>
  <si>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</si>
  <si>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</si>
  <si>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</si>
  <si>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</si>
  <si>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</si>
  <si>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</si>
  <si>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</si>
  <si>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</si>
  <si>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</si>
  <si>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</si>
  <si>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</si>
  <si>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</si>
  <si>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</si>
  <si>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</si>
  <si>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</si>
  <si>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</si>
  <si>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</si>
  <si>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</si>
  <si>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</si>
  <si>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</si>
  <si>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</si>
  <si>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</si>
  <si>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</si>
  <si>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</si>
  <si>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</si>
  <si>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</si>
  <si>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</si>
  <si>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</si>
  <si>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</si>
  <si>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</si>
  <si>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</si>
  <si>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</si>
  <si>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</si>
  <si>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</si>
  <si>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</si>
  <si>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</si>
  <si>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</si>
  <si>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</si>
  <si>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</si>
  <si>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</si>
  <si>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</si>
  <si>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</si>
  <si>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</si>
  <si>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</si>
  <si>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</si>
  <si>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</si>
  <si>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</si>
  <si>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</si>
  <si>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</si>
  <si>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</si>
  <si>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</si>
  <si>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</si>
  <si>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</si>
  <si>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</si>
  <si>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</si>
  <si>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</si>
  <si>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</si>
  <si>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</si>
  <si>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</si>
  <si>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</si>
  <si>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</si>
  <si>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</si>
  <si>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</si>
  <si>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</si>
  <si>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</si>
  <si>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</si>
  <si>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</si>
  <si>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</si>
  <si>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</si>
  <si>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</si>
  <si>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</si>
  <si>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</si>
  <si>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</si>
  <si>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</si>
  <si>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</si>
  <si>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</si>
  <si>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</si>
  <si>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</si>
  <si>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</si>
  <si>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</si>
  <si>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</si>
  <si>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</si>
  <si>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</si>
  <si>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</si>
  <si>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</si>
  <si>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</si>
  <si>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</si>
  <si>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</si>
  <si>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</si>
  <si>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</si>
  <si>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</si>
  <si>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</si>
  <si>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</si>
  <si>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</si>
  <si>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</si>
  <si>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</si>
  <si>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</si>
  <si>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</si>
  <si>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</si>
  <si>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</si>
  <si>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</si>
  <si>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</si>
  <si>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</si>
  <si>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</si>
  <si>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</si>
  <si>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</si>
  <si>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</si>
  <si>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</si>
  <si>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</si>
  <si>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</si>
  <si>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</si>
  <si>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</si>
  <si>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</si>
  <si>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</si>
  <si>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</si>
  <si>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</si>
  <si>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</si>
  <si>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</si>
  <si>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</si>
  <si>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</si>
  <si>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</si>
  <si>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</si>
  <si>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</si>
  <si>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</si>
  <si>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</si>
  <si>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</si>
  <si>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</si>
  <si>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</si>
  <si>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</si>
  <si>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</si>
  <si>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</si>
  <si>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</si>
  <si>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</si>
  <si>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</si>
  <si>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</si>
  <si>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</si>
  <si>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</si>
  <si>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</si>
  <si>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</si>
  <si>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</si>
  <si>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</si>
  <si>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</si>
  <si>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</si>
  <si>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</si>
  <si>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</si>
  <si>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</si>
  <si>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</si>
  <si>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</si>
  <si>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</si>
  <si>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</si>
  <si>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</si>
  <si>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</si>
  <si>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</si>
  <si>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</si>
  <si>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</si>
  <si>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</si>
  <si>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</si>
  <si>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</si>
  <si>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</si>
  <si>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</si>
  <si>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</si>
  <si>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</si>
  <si>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</si>
  <si>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</si>
  <si>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</si>
  <si>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</si>
  <si>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</si>
  <si>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</si>
  <si>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</si>
  <si>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</si>
  <si>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</si>
  <si>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</si>
  <si>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</si>
  <si>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</si>
  <si>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</si>
  <si>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</si>
  <si>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</si>
  <si>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</si>
  <si>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</si>
  <si>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</si>
  <si>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</si>
  <si>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</si>
  <si>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</si>
  <si>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</si>
  <si>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</si>
  <si>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</si>
  <si>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</si>
  <si>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</si>
  <si>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</si>
  <si>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</si>
  <si>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</si>
  <si>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</si>
  <si>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</si>
  <si>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</si>
  <si>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</si>
  <si>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</si>
  <si>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</si>
  <si>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</si>
  <si>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</si>
  <si>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</si>
  <si>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</si>
  <si>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</si>
  <si>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</si>
  <si>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</si>
  <si>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</si>
  <si>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</si>
  <si>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</si>
  <si>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</si>
  <si>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</si>
  <si>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</si>
  <si>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</si>
  <si>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</si>
  <si>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</si>
  <si>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</si>
  <si>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</si>
  <si>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</si>
  <si>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</si>
  <si>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</si>
  <si>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</si>
  <si>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</si>
  <si>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</si>
  <si>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</si>
  <si>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</si>
  <si>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</si>
  <si>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</si>
  <si>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</si>
  <si>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</si>
  <si>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</si>
  <si>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</si>
  <si>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</si>
  <si>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</si>
  <si>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</si>
  <si>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</si>
  <si>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</si>
  <si>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</si>
  <si>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</si>
  <si>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</si>
  <si>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</si>
  <si>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</si>
  <si>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</si>
  <si>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</si>
  <si>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</si>
  <si>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</si>
  <si>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</si>
  <si>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</si>
  <si>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</si>
  <si>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</si>
  <si>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</si>
  <si>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</si>
  <si>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</si>
  <si>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</si>
  <si>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</si>
  <si>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</si>
  <si>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</si>
  <si>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</si>
  <si>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</si>
  <si>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</si>
  <si>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</si>
  <si>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</si>
  <si>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</si>
  <si>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</si>
  <si>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</si>
  <si>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</si>
  <si>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</si>
  <si>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</si>
  <si>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</si>
  <si>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</si>
  <si>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</si>
  <si>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</si>
  <si>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</si>
  <si>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</si>
  <si>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</si>
  <si>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</si>
  <si>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</si>
  <si>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</si>
  <si>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</si>
  <si>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</si>
  <si>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</si>
  <si>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</si>
  <si>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</si>
  <si>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</si>
  <si>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</si>
  <si>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</si>
  <si>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</si>
  <si>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</si>
  <si>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</si>
  <si>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</si>
  <si>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</si>
  <si>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</si>
  <si>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</si>
  <si>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</si>
  <si>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</si>
  <si>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</si>
  <si>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</si>
  <si>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</si>
  <si>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</si>
  <si>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</si>
  <si>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</si>
  <si>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</si>
  <si>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</si>
  <si>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</si>
  <si>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</si>
  <si>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</si>
  <si>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</si>
  <si>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</si>
  <si>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</si>
  <si>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</si>
  <si>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</si>
  <si>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</si>
  <si>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</si>
  <si>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</si>
  <si>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</si>
  <si>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</si>
  <si>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</si>
  <si>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</si>
  <si>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</si>
  <si>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</si>
  <si>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</si>
  <si>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</si>
  <si>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</si>
  <si>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</si>
  <si>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</si>
  <si>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</si>
  <si>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</si>
  <si>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</si>
  <si>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</si>
  <si>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</si>
  <si>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</si>
  <si>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</si>
  <si>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</si>
  <si>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</si>
  <si>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</si>
  <si>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</si>
  <si>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</si>
  <si>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</si>
  <si>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</si>
  <si>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</si>
  <si>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</si>
  <si>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</si>
  <si>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</si>
  <si>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</si>
  <si>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</si>
  <si>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</si>
  <si>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</si>
  <si>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</si>
  <si>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</si>
  <si>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</si>
  <si>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</si>
  <si>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</si>
  <si>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</si>
  <si>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</si>
  <si>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</si>
  <si>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</si>
  <si>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</si>
  <si>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</si>
  <si>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</si>
  <si>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</si>
  <si>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</si>
  <si>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</si>
  <si>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</si>
  <si>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</si>
  <si>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</si>
  <si>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</si>
  <si>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</si>
  <si>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</si>
  <si>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</si>
  <si>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</si>
  <si>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</si>
  <si>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</si>
  <si>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</si>
  <si>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</si>
  <si>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</si>
  <si>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</si>
  <si>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</si>
  <si>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</si>
  <si>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</si>
  <si>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</si>
  <si>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</si>
  <si>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</si>
  <si>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</si>
  <si>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</si>
  <si>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</si>
  <si>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</si>
  <si>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</si>
  <si>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</si>
  <si>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</si>
  <si>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</si>
  <si>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</si>
  <si>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</si>
  <si>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</si>
  <si>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</si>
  <si>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</si>
  <si>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</si>
  <si>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</si>
  <si>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</si>
  <si>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</si>
  <si>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</si>
  <si>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</si>
  <si>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</si>
  <si>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</si>
  <si>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</si>
  <si>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</si>
  <si>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</si>
  <si>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</si>
  <si>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</si>
  <si>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</si>
  <si>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</si>
  <si>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</si>
  <si>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</si>
  <si>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</si>
  <si>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</si>
  <si>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</si>
  <si>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</si>
  <si>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</si>
  <si>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</si>
  <si>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</si>
  <si>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</si>
  <si>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</si>
  <si>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</si>
  <si>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</si>
  <si>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</si>
  <si>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</si>
  <si>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</si>
  <si>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</si>
  <si>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</si>
  <si>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</si>
  <si>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</si>
  <si>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</si>
  <si>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</si>
  <si>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</si>
  <si>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</si>
  <si>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</si>
  <si>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</si>
  <si>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</si>
  <si>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</si>
  <si>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</si>
  <si>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</si>
  <si>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</si>
  <si>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</si>
  <si>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</si>
  <si>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</si>
  <si>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</si>
  <si>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</si>
  <si>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</si>
  <si>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</si>
  <si>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</si>
  <si>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</si>
  <si>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</si>
  <si>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</si>
  <si>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</si>
  <si>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</si>
  <si>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</si>
  <si>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</si>
  <si>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</si>
  <si>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</si>
  <si>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</si>
  <si>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</si>
  <si>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</si>
  <si>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</si>
  <si>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</si>
  <si>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</si>
  <si>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</si>
  <si>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</si>
  <si>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</si>
  <si>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</si>
  <si>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</si>
  <si>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</si>
  <si>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</si>
  <si>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</si>
  <si>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</si>
  <si>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</si>
  <si>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</si>
  <si>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</si>
  <si>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</si>
  <si>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</si>
  <si>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</si>
  <si>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</si>
  <si>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</si>
  <si>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</si>
  <si>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</si>
  <si>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</si>
  <si>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</si>
  <si>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</si>
  <si>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</si>
  <si>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</si>
  <si>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</si>
  <si>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</si>
  <si>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</si>
  <si>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</si>
  <si>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</si>
  <si>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</si>
  <si>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</si>
  <si>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</si>
  <si>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</si>
  <si>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</si>
  <si>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</si>
  <si>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</si>
  <si>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</si>
  <si>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</si>
  <si>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</si>
  <si>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</si>
  <si>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</si>
  <si>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</si>
  <si>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</si>
  <si>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</si>
  <si>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</si>
  <si>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</si>
  <si>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</si>
  <si>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</si>
  <si>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</si>
  <si>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</si>
  <si>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</si>
  <si>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</si>
  <si>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</si>
  <si>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</si>
  <si>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</si>
  <si>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</si>
  <si>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</si>
  <si>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</si>
  <si>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</si>
  <si>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</si>
  <si>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</si>
  <si>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</si>
  <si>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</si>
  <si>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</si>
  <si>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</si>
  <si>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</si>
  <si>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</si>
  <si>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首頁 |  104  招募管理</t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</si>
  <si>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</si>
  <si>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</si>
  <si>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</si>
  <si>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</si>
  <si>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</si>
  <si>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</si>
  <si>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新店區</t>
    <phoneticPr fontId="1" type="noConversion"/>
  </si>
  <si>
    <t>6001002011</t>
    <phoneticPr fontId="1" type="noConversion"/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</si>
  <si>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</si>
  <si>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</si>
  <si>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</si>
  <si>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</si>
  <si>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</si>
  <si>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</si>
  <si>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</si>
  <si>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</si>
  <si>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</si>
  <si>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</si>
  <si>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</si>
  <si>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</si>
  <si>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</si>
  <si>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</si>
  <si>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</si>
  <si>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</si>
  <si>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</si>
  <si>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</si>
  <si>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</si>
  <si>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</si>
  <si>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</si>
  <si>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</si>
  <si>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</si>
  <si>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</si>
  <si>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</si>
  <si>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</si>
  <si>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2001001001</t>
    <phoneticPr fontId="1" type="noConversion"/>
  </si>
  <si>
    <t>https://www.104.com.tw/jobs/search/?jobsource=joblist_search&amp;mode=s&amp;order=15&amp;page=6&amp;jobcat=2001001001&amp;keyword=%E9%A3%9F%E5%93%81&amp;area=6001001000</t>
    <phoneticPr fontId="1" type="noConversion"/>
  </si>
  <si>
    <t>https://www.104.com.tw/jobs/search/?jobsource=joblist_search&amp;mode=s&amp;order=15&amp;page=3&amp;jobcat=2001001001&amp;keyword=%E9%A3%9F%E5%93%81&amp;area=6001001000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</si>
</sst>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jobsource=joblist_search&amp;mode=s&amp;order=15&amp;page=3&amp;jobcat=2001001001&amp;keyword=%E9%A3%9F%E5%93%81&amp;area=6001001000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J13" sqref="J13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6" t="s">
        <v>725</v>
      </c>
      <c r="C2" s="20" t="s">
        <v>12</v>
      </c>
      <c r="D2" s="27" t="s">
        <v>726</v>
      </c>
    </row>
    <row r="3" spans="1:4" x14ac:dyDescent="0.25">
      <c r="A3" s="2" t="s">
        <v>7</v>
      </c>
      <c r="B3" s="26" t="s">
        <v>727</v>
      </c>
      <c r="C3" s="20" t="s">
        <v>9</v>
      </c>
      <c r="D3" s="27" t="s">
        <v>728</v>
      </c>
    </row>
    <row r="4" spans="1:4" x14ac:dyDescent="0.25">
      <c r="A4" s="2" t="s">
        <v>729</v>
      </c>
      <c r="B4" s="26" t="s">
        <v>730</v>
      </c>
      <c r="C4" s="20" t="s">
        <v>13</v>
      </c>
      <c r="D4" s="27" t="s">
        <v>731</v>
      </c>
    </row>
    <row r="5" spans="1:4" x14ac:dyDescent="0.25">
      <c r="A5" s="2"/>
      <c r="B5" s="26"/>
      <c r="C5" s="20" t="s">
        <v>16</v>
      </c>
      <c r="D5" s="27" t="s">
        <v>732</v>
      </c>
    </row>
    <row r="6" spans="1:4" x14ac:dyDescent="0.25">
      <c r="A6" s="2"/>
      <c r="B6" s="26"/>
      <c r="C6" s="20" t="s">
        <v>11</v>
      </c>
      <c r="D6" s="27" t="s">
        <v>733</v>
      </c>
    </row>
    <row r="7" spans="1:4" x14ac:dyDescent="0.25">
      <c r="A7" s="2"/>
      <c r="B7" s="26"/>
      <c r="C7" s="20" t="s">
        <v>15</v>
      </c>
      <c r="D7" s="27" t="s">
        <v>734</v>
      </c>
    </row>
    <row r="8" spans="1:4" x14ac:dyDescent="0.25">
      <c r="A8" s="2"/>
      <c r="B8" s="26"/>
      <c r="C8" s="20" t="s">
        <v>14</v>
      </c>
      <c r="D8" s="27" t="s">
        <v>735</v>
      </c>
    </row>
    <row r="9" spans="1:4" x14ac:dyDescent="0.25">
      <c r="A9" s="2"/>
      <c r="B9" s="26"/>
      <c r="C9" s="21" t="s">
        <v>47</v>
      </c>
      <c r="D9" s="28" t="s">
        <v>736</v>
      </c>
    </row>
    <row r="10" spans="1:4" x14ac:dyDescent="0.25">
      <c r="A10" s="2"/>
      <c r="B10" s="26"/>
      <c r="C10" s="21" t="s">
        <v>10</v>
      </c>
      <c r="D10" s="28" t="s">
        <v>737</v>
      </c>
    </row>
    <row r="11" spans="1:4" x14ac:dyDescent="0.25">
      <c r="A11" s="2"/>
      <c r="B11" s="26"/>
      <c r="C11" s="3" t="s">
        <v>18</v>
      </c>
      <c r="D11" s="29" t="s">
        <v>738</v>
      </c>
    </row>
    <row r="12" spans="1:4" x14ac:dyDescent="0.25">
      <c r="A12" s="2"/>
      <c r="B12" s="26"/>
      <c r="C12" s="30" t="s">
        <v>739</v>
      </c>
      <c r="D12" s="31" t="s">
        <v>740</v>
      </c>
    </row>
    <row r="13" spans="1:4" x14ac:dyDescent="0.25">
      <c r="A13" s="2"/>
      <c r="B13" s="26"/>
      <c r="C13" s="30" t="s">
        <v>741</v>
      </c>
      <c r="D13" s="31" t="s">
        <v>742</v>
      </c>
    </row>
    <row r="14" spans="1:4" x14ac:dyDescent="0.25">
      <c r="A14" s="2"/>
      <c r="B14" s="26"/>
      <c r="C14" s="30" t="s">
        <v>743</v>
      </c>
      <c r="D14" s="31" t="s">
        <v>744</v>
      </c>
    </row>
    <row r="15" spans="1:4" x14ac:dyDescent="0.25">
      <c r="A15" s="2"/>
      <c r="B15" s="26"/>
      <c r="C15" s="30" t="s">
        <v>745</v>
      </c>
      <c r="D15" s="31" t="s">
        <v>746</v>
      </c>
    </row>
    <row r="16" spans="1:4" x14ac:dyDescent="0.25">
      <c r="A16" s="2"/>
      <c r="B16" s="26"/>
      <c r="C16" s="30" t="s">
        <v>747</v>
      </c>
      <c r="D16" s="31" t="s">
        <v>748</v>
      </c>
    </row>
    <row r="17" spans="1:4" x14ac:dyDescent="0.25">
      <c r="A17" s="2"/>
      <c r="B17" s="26"/>
      <c r="C17" s="30" t="s">
        <v>749</v>
      </c>
      <c r="D17" s="31" t="s">
        <v>750</v>
      </c>
    </row>
    <row r="18" spans="1:4" x14ac:dyDescent="0.25">
      <c r="A18" s="2"/>
      <c r="B18" s="26"/>
      <c r="C18" s="30" t="s">
        <v>751</v>
      </c>
      <c r="D18" s="31" t="s">
        <v>752</v>
      </c>
    </row>
    <row r="19" spans="1:4" x14ac:dyDescent="0.25">
      <c r="A19" s="2"/>
      <c r="B19" s="26"/>
      <c r="C19" s="30" t="s">
        <v>753</v>
      </c>
      <c r="D19" s="31" t="s">
        <v>754</v>
      </c>
    </row>
    <row r="20" spans="1:4" x14ac:dyDescent="0.25">
      <c r="A20" s="2"/>
      <c r="B20" s="26"/>
      <c r="C20" s="30" t="s">
        <v>755</v>
      </c>
      <c r="D20" s="31" t="s">
        <v>756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tabSelected="1" workbookViewId="0">
      <selection activeCell="B3" sqref="B3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759</v>
      </c>
      <c r="C3" s="6"/>
      <c r="E3" s="6"/>
    </row>
    <row r="4" spans="1:5" ht="16.5" x14ac:dyDescent="0.25">
      <c r="A4" s="7" t="s">
        <v>23</v>
      </c>
      <c r="B4" s="5">
        <v>2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723</v>
      </c>
      <c r="B6" s="14" t="s">
        <v>4</v>
      </c>
      <c r="C6" s="12" t="str">
        <f>_xlfn.IFNA(VLOOKUP(B6,index!A:B,2,FALSE),"")</f>
        <v>6001001000</v>
      </c>
      <c r="D6" s="15" t="s">
        <v>743</v>
      </c>
      <c r="E6" s="12" t="str">
        <f>_xlfn.IFNA(VLOOKUP(D6,index!C:D,2,FALSE),"")</f>
        <v>2001001001</v>
      </c>
    </row>
    <row r="7" spans="1:5" x14ac:dyDescent="0.25">
      <c r="A7" s="13"/>
      <c r="B7" s="14"/>
      <c r="C7" s="12" t="str">
        <f>_xlfn.IFNA(VLOOKUP(B7,index!A:B,2,FALSE),"")</f>
        <v/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723</v>
      </c>
      <c r="B11" s="18"/>
      <c r="C11" s="18" t="s">
        <v>725</v>
      </c>
      <c r="D11" s="19"/>
      <c r="E11" s="18" t="s">
        <v>757</v>
      </c>
    </row>
  </sheetData>
  <phoneticPr fontId="1" type="noConversion"/>
  <hyperlinks>
    <hyperlink ref="B3" r:id="rId1" xr:uid="{B4004272-F039-4139-ABCC-B1F45E298A8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B11"/>
  <sheetViews>
    <sheetView workbookViewId="0">
      <selection sqref="A1:XFD1048576"/>
    </sheetView>
  </sheetViews>
  <sheetFormatPr defaultRowHeight="15.75" x14ac:dyDescent="0.25"/>
  <cols>
    <col min="1" max="1" width="43.85546875" customWidth="1"/>
    <col min="2" max="2" width="23.7109375" customWidth="1"/>
    <col min="3" max="3" width="36.140625" customWidth="1"/>
    <col min="4" max="4" width="14.28515625" customWidth="1"/>
    <col min="5" max="5" width="20.7109375" customWidth="1"/>
  </cols>
  <sheetData>
    <row r="11" spans="2:2" x14ac:dyDescent="0.25">
      <c r="B11" s="6"/>
    </row>
  </sheetData>
  <sortState xmlns:xlrd2="http://schemas.microsoft.com/office/spreadsheetml/2017/richdata2" ref="A2:K111">
    <sortCondition descending="1" ref="I2:I11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workbookViewId="0">
      <selection activeCell="E28" sqref="E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717</v>
      </c>
      <c r="B1" s="23" t="s">
        <v>719</v>
      </c>
    </row>
    <row r="2" spans="1:8" x14ac:dyDescent="0.25">
      <c r="A2" t="s">
        <v>718</v>
      </c>
      <c r="B2" t="s">
        <v>720</v>
      </c>
    </row>
    <row r="3" spans="1:8" x14ac:dyDescent="0.25">
      <c r="D3" s="25" t="s">
        <v>721</v>
      </c>
      <c r="H3" s="24" t="s">
        <v>722</v>
      </c>
    </row>
    <row r="4" spans="1:8" x14ac:dyDescent="0.25">
      <c r="A4" s="9" t="s">
        <v>17</v>
      </c>
      <c r="B4" s="6"/>
      <c r="D4" t="s">
        <v>724</v>
      </c>
    </row>
    <row r="5" spans="1:8" ht="16.5" x14ac:dyDescent="0.25">
      <c r="A5" s="7" t="s">
        <v>23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19</v>
      </c>
      <c r="D6" s="8" t="s">
        <v>2</v>
      </c>
      <c r="E6" s="10" t="s">
        <v>20</v>
      </c>
    </row>
    <row r="7" spans="1:8" x14ac:dyDescent="0.25">
      <c r="A7" s="13" t="s">
        <v>723</v>
      </c>
      <c r="B7" s="14" t="s">
        <v>4</v>
      </c>
      <c r="C7" s="12" t="str">
        <f>_xlfn.IFNA(VLOOKUP(B7,index!A:B,2,FALSE),"")</f>
        <v>6001001000</v>
      </c>
      <c r="D7" s="15" t="s">
        <v>9</v>
      </c>
      <c r="E7" s="12" t="str">
        <f>_xlfn.IFNA(VLOOKUP(D7,index!C:D,2,FALSE),"")</f>
        <v>2009001001</v>
      </c>
    </row>
    <row r="8" spans="1:8" x14ac:dyDescent="0.25">
      <c r="A8" s="13"/>
      <c r="B8" s="14" t="s">
        <v>6</v>
      </c>
      <c r="C8" s="12" t="str">
        <f>_xlfn.IFNA(VLOOKUP(B8,index!A:B,2,FALSE),"")</f>
        <v>6001002000</v>
      </c>
      <c r="D8" s="15" t="s">
        <v>715</v>
      </c>
      <c r="E8" s="12" t="str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714</v>
      </c>
      <c r="E9" s="12" t="str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 t="str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 t="str">
        <f>_xlfn.IFNA(VLOOKUP(D11,index!C:D,2,FALSE),"")</f>
        <v>2009001004</v>
      </c>
    </row>
    <row r="12" spans="1:8" x14ac:dyDescent="0.25">
      <c r="A12" s="17" t="s">
        <v>723</v>
      </c>
      <c r="B12" s="18"/>
      <c r="C12" s="18" t="s">
        <v>21</v>
      </c>
      <c r="D12" s="19"/>
      <c r="E12" s="18" t="s">
        <v>716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J20" sqref="J20"/>
    </sheetView>
  </sheetViews>
  <sheetFormatPr defaultRowHeight="15.75" x14ac:dyDescent="0.25"/>
  <sheetData>
    <row r="1" spans="1:1" x14ac:dyDescent="0.25">
      <c r="A1" s="6" t="s">
        <v>758</v>
      </c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2025-05-09T10:01:42Z</dcterms:modified>
</cp:coreProperties>
</file>