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8E7EED8E-9B4A-42CD-B11D-1431AE793CD1}" xr6:coauthVersionLast="47" xr6:coauthVersionMax="47" xr10:uidLastSave="{00000000-0000-0000-0000-000000000000}"/>
  <bookViews>
    <workbookView xWindow="-19200" yWindow="0" windowWidth="19200" windowHeight="15480" activeTab="1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E11" i="8"/>
  <c r="C11" i="8"/>
  <c r="E10" i="8"/>
  <c r="C10" i="8"/>
  <c r="E9" i="8"/>
  <c r="C9" i="8"/>
  <c r="E8" i="8"/>
  <c r="C8" i="8"/>
  <c r="E7" i="8"/>
  <c r="C7" i="8"/>
  <c r="C7" i="1"/>
  <c r="C8" i="1"/>
  <c r="C9" i="1"/>
  <c r="C10" i="1"/>
  <c r="C6" i="1"/>
</calcChain>
</file>

<file path=xl/sharedStrings.xml><?xml version="1.0" encoding="utf-8"?>
<sst xmlns="http://schemas.openxmlformats.org/spreadsheetml/2006/main" count="2539" uniqueCount="1067">
  <si>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</si>
  <si>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</si>
  <si>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</si>
  <si>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</si>
  <si>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</si>
  <si>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</si>
  <si>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</si>
  <si>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</si>
  <si>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</si>
  <si>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</si>
  <si>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</si>
  <si>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</si>
  <si>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</si>
  <si>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</si>
  <si>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</si>
  <si>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</si>
  <si>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</si>
  <si>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</si>
  <si>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</si>
  <si>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</si>
  <si>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</si>
  <si>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</si>
  <si>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</si>
  <si>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</si>
  <si>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</si>
  <si>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</si>
  <si>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</si>
  <si>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</si>
  <si>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</si>
  <si>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</si>
  <si>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</si>
  <si>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</si>
  <si>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</si>
  <si>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</si>
  <si>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</si>
  <si>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</si>
  <si>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</si>
  <si>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</si>
  <si>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</si>
  <si>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</si>
  <si>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</si>
  <si>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</si>
  <si>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</si>
  <si>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</si>
  <si>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</si>
  <si>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</si>
  <si>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</si>
  <si>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</si>
  <si>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</si>
  <si>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</si>
  <si>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</si>
  <si>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</si>
  <si>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</si>
  <si>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</si>
  <si>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</si>
  <si>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</si>
  <si>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</si>
  <si>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</si>
  <si>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</si>
  <si>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</si>
  <si>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</si>
  <si>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</si>
  <si>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</si>
  <si>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</si>
  <si>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</si>
  <si>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</si>
  <si>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</si>
  <si>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</si>
  <si>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</si>
  <si>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</si>
  <si>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</si>
  <si>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</si>
  <si>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</si>
  <si>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</si>
  <si>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</si>
  <si>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</si>
  <si>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</si>
  <si>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</si>
  <si>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</si>
  <si>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</si>
  <si>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</si>
  <si>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</si>
  <si>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</si>
  <si>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</si>
  <si>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</si>
  <si>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</si>
  <si>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</si>
  <si>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</si>
  <si>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</si>
  <si>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</si>
  <si>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</si>
  <si>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</si>
  <si>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</si>
  <si>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</si>
  <si>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</si>
  <si>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</si>
  <si>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</si>
  <si>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</si>
  <si>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</si>
  <si>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</si>
  <si>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</si>
  <si>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</si>
  <si>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</si>
  <si>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</si>
  <si>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</si>
  <si>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</si>
  <si>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</si>
  <si>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</si>
  <si>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</si>
  <si>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</si>
  <si>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</si>
  <si>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</si>
  <si>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</si>
  <si>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</si>
  <si>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</si>
  <si>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</si>
  <si>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</si>
  <si>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</si>
  <si>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</si>
  <si>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</si>
  <si>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</si>
  <si>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</si>
  <si>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</si>
  <si>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</si>
  <si>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</si>
  <si>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</si>
  <si>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</si>
  <si>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</si>
  <si>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</si>
  <si>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</si>
  <si>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</si>
  <si>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</si>
  <si>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</si>
  <si>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</si>
  <si>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</si>
  <si>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</si>
  <si>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</si>
  <si>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</si>
  <si>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</si>
  <si>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</si>
  <si>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</si>
  <si>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</si>
  <si>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</si>
  <si>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</si>
  <si>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</si>
  <si>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</si>
  <si>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</si>
  <si>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</si>
  <si>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</si>
  <si>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</si>
  <si>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</si>
  <si>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</si>
  <si>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</si>
  <si>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</si>
  <si>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</si>
  <si>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</si>
  <si>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</si>
  <si>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</si>
  <si>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</si>
  <si>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</si>
  <si>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</si>
  <si>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</si>
  <si>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</si>
  <si>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</si>
  <si>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</si>
  <si>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</si>
  <si>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</si>
  <si>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</si>
  <si>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</si>
  <si>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</si>
  <si>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</si>
  <si>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</si>
  <si>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</si>
  <si>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</si>
  <si>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</si>
  <si>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</si>
  <si>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</si>
  <si>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</si>
  <si>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</si>
  <si>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</si>
  <si>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</si>
  <si>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</si>
  <si>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</si>
  <si>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</si>
  <si>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</si>
  <si>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</si>
  <si>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</si>
  <si>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</si>
  <si>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</si>
  <si>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</si>
  <si>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</si>
  <si>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</si>
  <si>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</si>
  <si>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</si>
  <si>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</si>
  <si>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</si>
  <si>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</si>
  <si>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</si>
  <si>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</si>
  <si>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</si>
  <si>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</si>
  <si>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</si>
  <si>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</si>
  <si>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</si>
  <si>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</si>
  <si>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</si>
  <si>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</si>
  <si>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</si>
  <si>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</si>
  <si>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</si>
  <si>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</si>
  <si>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</si>
  <si>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</si>
  <si>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</si>
  <si>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</si>
  <si>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</si>
  <si>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</si>
  <si>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</si>
  <si>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</si>
  <si>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</si>
  <si>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</si>
  <si>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</si>
  <si>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</si>
  <si>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</si>
  <si>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</si>
  <si>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</si>
  <si>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</si>
  <si>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</si>
  <si>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</si>
  <si>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</si>
  <si>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</si>
  <si>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</si>
  <si>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</si>
  <si>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</si>
  <si>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</si>
  <si>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</si>
  <si>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</si>
  <si>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</si>
  <si>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</si>
  <si>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</si>
  <si>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</si>
  <si>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</si>
  <si>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</si>
  <si>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</si>
  <si>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</si>
  <si>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</si>
  <si>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</si>
  <si>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</si>
  <si>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</si>
  <si>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</si>
  <si>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</si>
  <si>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</si>
  <si>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</si>
  <si>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</si>
  <si>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</si>
  <si>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</si>
  <si>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</si>
  <si>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</si>
  <si>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</si>
  <si>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</si>
  <si>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</si>
  <si>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</si>
  <si>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</si>
  <si>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</si>
  <si>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</si>
  <si>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</si>
  <si>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</si>
  <si>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</si>
  <si>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</si>
  <si>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</si>
  <si>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</si>
  <si>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</si>
  <si>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</si>
  <si>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</si>
  <si>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</si>
  <si>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</si>
  <si>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</si>
  <si>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</si>
  <si>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</si>
  <si>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</si>
  <si>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</si>
  <si>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</si>
  <si>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</si>
  <si>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</si>
  <si>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</si>
  <si>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</si>
  <si>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</si>
  <si>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</si>
  <si>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</si>
  <si>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</si>
  <si>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</si>
  <si>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</si>
  <si>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</si>
  <si>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</si>
  <si>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</si>
  <si>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</si>
  <si>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</si>
  <si>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</si>
  <si>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</si>
  <si>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</si>
  <si>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</si>
  <si>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</si>
  <si>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</si>
  <si>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</si>
  <si>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</si>
  <si>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</si>
  <si>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</si>
  <si>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</si>
  <si>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</si>
  <si>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</si>
  <si>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</si>
  <si>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</si>
  <si>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</si>
  <si>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</si>
  <si>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</si>
  <si>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</si>
  <si>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</si>
  <si>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</si>
  <si>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</si>
  <si>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</si>
  <si>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</si>
  <si>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</si>
  <si>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</si>
  <si>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</si>
  <si>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</si>
  <si>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</si>
  <si>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</si>
  <si>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</si>
  <si>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</si>
  <si>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</si>
  <si>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</si>
  <si>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</si>
  <si>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</si>
  <si>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</si>
  <si>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</si>
  <si>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</si>
  <si>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</si>
  <si>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</si>
  <si>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</si>
  <si>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</si>
  <si>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</si>
  <si>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</si>
  <si>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</si>
  <si>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</si>
  <si>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</si>
  <si>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</si>
  <si>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</si>
  <si>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</si>
  <si>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</si>
  <si>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</si>
  <si>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</si>
  <si>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</si>
  <si>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</si>
  <si>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</si>
  <si>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</si>
  <si>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</si>
  <si>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</si>
  <si>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</si>
  <si>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</si>
  <si>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</si>
  <si>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</si>
  <si>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</si>
  <si>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</si>
  <si>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</si>
  <si>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</si>
  <si>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</si>
  <si>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</si>
  <si>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</si>
  <si>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</si>
  <si>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</si>
  <si>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</si>
  <si>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</si>
  <si>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</si>
  <si>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</si>
  <si>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</si>
  <si>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</si>
  <si>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</si>
  <si>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</si>
  <si>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</si>
  <si>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</si>
  <si>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</si>
  <si>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</si>
  <si>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</si>
  <si>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</si>
  <si>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</si>
  <si>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</si>
  <si>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</si>
  <si>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</si>
  <si>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</si>
  <si>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</si>
  <si>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</si>
  <si>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</si>
  <si>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</si>
  <si>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</si>
  <si>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</si>
  <si>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</si>
  <si>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</si>
  <si>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</si>
  <si>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</si>
  <si>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</si>
  <si>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</si>
  <si>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</si>
  <si>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</si>
  <si>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</si>
  <si>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</si>
  <si>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</si>
  <si>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</si>
  <si>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</si>
  <si>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</si>
  <si>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</si>
  <si>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</si>
  <si>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</si>
  <si>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</si>
  <si>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</si>
  <si>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</si>
  <si>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</si>
  <si>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</si>
  <si>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</si>
  <si>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</si>
  <si>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</si>
  <si>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</si>
  <si>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</si>
  <si>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</si>
  <si>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</si>
  <si>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</si>
  <si>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</si>
  <si>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</si>
  <si>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</si>
  <si>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</si>
  <si>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</si>
  <si>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</si>
  <si>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</si>
  <si>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</si>
  <si>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</si>
  <si>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</si>
  <si>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</si>
  <si>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</si>
  <si>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</si>
  <si>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</si>
  <si>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</si>
  <si>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</si>
  <si>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</si>
  <si>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</si>
  <si>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</si>
  <si>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</si>
  <si>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</si>
  <si>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</si>
  <si>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</si>
  <si>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</si>
  <si>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</si>
  <si>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</si>
  <si>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</si>
  <si>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</si>
  <si>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</si>
  <si>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</si>
  <si>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</si>
  <si>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</si>
  <si>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</si>
  <si>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</si>
  <si>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</si>
  <si>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</si>
  <si>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</si>
  <si>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</si>
  <si>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</si>
  <si>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</si>
  <si>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</si>
  <si>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</si>
  <si>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</si>
  <si>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</si>
  <si>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</si>
  <si>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</si>
  <si>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</si>
  <si>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</si>
  <si>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</si>
  <si>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</si>
  <si>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</si>
  <si>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</si>
  <si>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</si>
  <si>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</si>
  <si>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</si>
  <si>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</si>
  <si>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</si>
  <si>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</si>
  <si>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</si>
  <si>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</si>
  <si>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</si>
  <si>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</si>
  <si>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</si>
  <si>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</si>
  <si>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</si>
  <si>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</si>
  <si>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</si>
  <si>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</si>
  <si>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</si>
  <si>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</si>
  <si>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</si>
  <si>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</si>
  <si>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</si>
  <si>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</si>
  <si>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</si>
  <si>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</si>
  <si>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</si>
  <si>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</si>
  <si>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</si>
  <si>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</si>
  <si>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</si>
  <si>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</si>
  <si>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</si>
  <si>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</si>
  <si>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</si>
  <si>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</si>
  <si>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</si>
  <si>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</si>
  <si>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</si>
  <si>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</si>
  <si>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</si>
  <si>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</si>
  <si>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</si>
  <si>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</si>
  <si>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</si>
  <si>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</si>
  <si>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</si>
  <si>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</si>
  <si>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</si>
  <si>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</si>
  <si>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</si>
  <si>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</si>
  <si>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</si>
  <si>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</si>
  <si>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</si>
  <si>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</si>
  <si>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</si>
  <si>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</si>
  <si>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</si>
  <si>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</si>
  <si>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</si>
  <si>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</si>
  <si>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</si>
  <si>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</si>
  <si>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</si>
  <si>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</si>
  <si>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</si>
  <si>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</si>
  <si>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</si>
  <si>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</si>
  <si>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</si>
  <si>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</si>
  <si>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</si>
  <si>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</si>
  <si>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</si>
  <si>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</si>
  <si>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</si>
  <si>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</si>
  <si>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</si>
  <si>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</si>
  <si>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</si>
  <si>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</si>
  <si>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</si>
  <si>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</si>
  <si>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</si>
  <si>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</si>
  <si>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</si>
  <si>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</si>
  <si>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</si>
  <si>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</si>
  <si>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</si>
  <si>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</si>
  <si>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</si>
  <si>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</si>
  <si>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</si>
  <si>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</si>
  <si>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</si>
  <si>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</si>
  <si>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</si>
  <si>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</si>
  <si>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</si>
  <si>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</si>
  <si>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</si>
  <si>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</si>
  <si>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</si>
  <si>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</si>
  <si>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</si>
  <si>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</si>
  <si>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</si>
  <si>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</si>
  <si>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</si>
  <si>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</si>
  <si>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</si>
  <si>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</si>
  <si>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</si>
  <si>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</si>
  <si>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</si>
  <si>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</si>
  <si>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</si>
  <si>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</si>
  <si>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</si>
  <si>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</si>
  <si>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</si>
  <si>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</si>
  <si>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</si>
  <si>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</si>
  <si>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</si>
  <si>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</si>
  <si>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</si>
  <si>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</si>
  <si>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</si>
  <si>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</si>
  <si>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</si>
  <si>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</si>
  <si>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</si>
  <si>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</si>
  <si>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</si>
  <si>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</si>
  <si>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</si>
  <si>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</si>
  <si>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</si>
  <si>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</si>
  <si>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</si>
  <si>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</si>
  <si>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</si>
  <si>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</si>
  <si>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</si>
  <si>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</si>
  <si>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</si>
  <si>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</si>
  <si>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</si>
  <si>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</si>
  <si>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</si>
  <si>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</si>
  <si>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</si>
  <si>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</si>
  <si>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</si>
  <si>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</si>
  <si>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</si>
  <si>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</si>
  <si>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</si>
  <si>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</si>
  <si>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</si>
  <si>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</si>
  <si>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</si>
  <si>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</si>
  <si>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</si>
  <si>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</si>
  <si>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</si>
  <si>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</si>
  <si>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</si>
  <si>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</si>
  <si>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</si>
  <si>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</si>
  <si>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</si>
  <si>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</si>
  <si>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</si>
  <si>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</si>
  <si>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</si>
  <si>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</si>
  <si>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</si>
  <si>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</si>
  <si>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</si>
  <si>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</si>
  <si>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</si>
  <si>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</si>
  <si>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</si>
  <si>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</si>
  <si>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</si>
  <si>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</si>
  <si>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</si>
  <si>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</si>
  <si>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</si>
  <si>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</si>
  <si>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</si>
  <si>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</si>
  <si>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</si>
  <si>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</si>
  <si>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</si>
  <si>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</si>
  <si>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</si>
  <si>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</si>
  <si>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</si>
  <si>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</si>
  <si>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</si>
  <si>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</si>
  <si>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</si>
  <si>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</si>
  <si>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</si>
  <si>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</si>
  <si>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</si>
  <si>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</si>
  <si>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</si>
  <si>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</si>
  <si>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</si>
  <si>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</si>
  <si>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</si>
  <si>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</si>
  <si>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</si>
  <si>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</si>
  <si>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</si>
  <si>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</si>
  <si>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</si>
  <si>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</si>
  <si>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</si>
  <si>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</si>
  <si>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</si>
  <si>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</si>
  <si>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</si>
  <si>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</si>
  <si>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</si>
  <si>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</si>
  <si>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</si>
  <si>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</si>
  <si>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</si>
  <si>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</si>
  <si>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</si>
  <si>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</si>
  <si>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</si>
  <si>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</si>
  <si>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</si>
  <si>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</si>
  <si>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</si>
  <si>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</si>
  <si>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</si>
  <si>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</si>
  <si>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</si>
  <si>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首頁 |  104  招募管理</t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</si>
  <si>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</si>
  <si>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</si>
  <si>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</si>
  <si>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</si>
  <si>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</si>
  <si>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</si>
  <si>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新店區</t>
    <phoneticPr fontId="1" type="noConversion"/>
  </si>
  <si>
    <t>6001002011</t>
    <phoneticPr fontId="1" type="noConversion"/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</si>
  <si>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</si>
  <si>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</si>
  <si>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</si>
  <si>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</si>
  <si>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</si>
  <si>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</si>
  <si>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</si>
  <si>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</si>
  <si>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</si>
  <si>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</si>
  <si>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</si>
  <si>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</si>
  <si>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</si>
  <si>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</si>
  <si>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</si>
  <si>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</si>
  <si>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</si>
  <si>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</si>
  <si>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</si>
  <si>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</si>
  <si>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</si>
  <si>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</si>
  <si>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</si>
  <si>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</si>
  <si>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</si>
  <si>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</si>
  <si>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https://www.104.com.tw/jobs/search/?jobsource=joblist_search&amp;mode=s&amp;order=15&amp;page=6&amp;jobcat=2001001001&amp;keyword=%E9%A3%9F%E5%93%81&amp;area=6001001000</t>
    <phoneticPr fontId="1" type="noConversion"/>
  </si>
  <si>
    <t>2009000000</t>
    <phoneticPr fontId="1" type="noConversion"/>
  </si>
  <si>
    <t>生產製造／品管／環衛類</t>
  </si>
  <si>
    <t>統皓食品股份有限公司</t>
  </si>
  <si>
    <t>品元實業股份有限公司</t>
  </si>
  <si>
    <t>月薪40,000~48,000元</t>
  </si>
  <si>
    <t>月薪40,000~42,000元</t>
  </si>
  <si>
    <t>歐比特國際創意股份有限公司</t>
  </si>
  <si>
    <t>廠務副理</t>
  </si>
  <si>
    <t>https://www.104.com.tw/job/7bhku?jobsource=joblist_search</t>
  </si>
  <si>
    <t>儲備生技廠廠長：汐止</t>
  </si>
  <si>
    <t>https://www.104.com.tw/job/60g8p?jobsource=joblist_search</t>
  </si>
  <si>
    <t>廣生堂國際股份有限公司</t>
  </si>
  <si>
    <t>炫煬國際行銷股份有限公司</t>
  </si>
  <si>
    <t>鴻海精密工業股份有限公司</t>
  </si>
  <si>
    <t>好柿集團_食辰有限公司</t>
  </si>
  <si>
    <t>月薪60,000~100,000元</t>
  </si>
  <si>
    <t>數據分析</t>
    <phoneticPr fontId="1" type="noConversion"/>
  </si>
  <si>
    <t>2001001001</t>
    <phoneticPr fontId="1" type="noConversion"/>
  </si>
  <si>
    <t>「食品、經營管理主管」台北市、新北市最新找工作職缺｜2025年5月－104人力銀行</t>
    <phoneticPr fontId="1" type="noConversion"/>
  </si>
  <si>
    <t>全部頁面爬蟲完成</t>
    <phoneticPr fontId="1" type="noConversion"/>
  </si>
  <si>
    <t>倉庫管理</t>
  </si>
  <si>
    <t>https://www.104.com.tw/job/8ofaz?jobsource=joblist_search</t>
  </si>
  <si>
    <t>饗食食品企業社</t>
  </si>
  <si>
    <t>督導人員</t>
  </si>
  <si>
    <t>https://www.104.com.tw/job/8ofbp?jobsource=joblist_search</t>
  </si>
  <si>
    <t>研發部經理</t>
  </si>
  <si>
    <t>https://www.104.com.tw/job/8nxa7?jobsource=joblist_search</t>
  </si>
  <si>
    <t>安口食品機械股份有限公司</t>
  </si>
  <si>
    <t>食品工廠廠長</t>
  </si>
  <si>
    <t>https://www.104.com.tw/job/8ig7i?jobsource=joblist_search</t>
  </si>
  <si>
    <t>甘樂文創志業股份有限公司</t>
  </si>
  <si>
    <t>台北營運部｜(板橋大遠百)門市主管 #須配合輪調訓練</t>
  </si>
  <si>
    <t>https://www.104.com.tw/job/8oo3n?jobsource=joblist_search</t>
  </si>
  <si>
    <t>吳寶春食品股份有限公司</t>
  </si>
  <si>
    <t>KA通路業務主管（調理食品事業處）</t>
  </si>
  <si>
    <t>https://www.104.com.tw/job/8i67u?jobsource=joblist_search</t>
  </si>
  <si>
    <t>米大師美食生技股份有限公司</t>
  </si>
  <si>
    <t>月薪50,000~100,000元</t>
  </si>
  <si>
    <t>台北營運部｜(信義區)門市主管</t>
  </si>
  <si>
    <t>https://www.104.com.tw/job/7xpe2?jobsource=joblist_search</t>
  </si>
  <si>
    <t>食品生技產業投資經理、子公司產品經營管理主管</t>
  </si>
  <si>
    <t>https://www.104.com.tw/job/8mr3a?jobsource=joblist_search</t>
  </si>
  <si>
    <t>香港商啟善亞洲資本有限公司</t>
  </si>
  <si>
    <t>儲備店經理 (台北總公司)</t>
  </si>
  <si>
    <t>https://www.104.com.tw/job/4a2hc?jobsource=joblist_search</t>
  </si>
  <si>
    <t>福利麵包食品有限公司</t>
  </si>
  <si>
    <t>月薪33,000~45,000元</t>
  </si>
  <si>
    <t>儲備店長【台北/新北/新竹地區★人才培育計畫】</t>
  </si>
  <si>
    <t>https://www.104.com.tw/job/8asqu?jobsource=joblist_search</t>
  </si>
  <si>
    <t>聖瑪莉_歐立食品股份有限公司</t>
  </si>
  <si>
    <t>【品研主管】 ★食安控管★品質把關</t>
  </si>
  <si>
    <t>https://www.104.com.tw/job/8js1u?jobsource=joblist_search</t>
  </si>
  <si>
    <t>【日商明治】日文人資副理</t>
  </si>
  <si>
    <t>https://www.104.com.tw/job/8o8s7?jobsource=joblist_search</t>
  </si>
  <si>
    <t>台灣明治食品股份有限公司</t>
  </si>
  <si>
    <t>美而美總部 督導</t>
  </si>
  <si>
    <t>https://www.104.com.tw/job/87rwb?jobsource=joblist_search</t>
  </si>
  <si>
    <t>美而美食品實業有限公司</t>
  </si>
  <si>
    <t>門市經理-【Bonnie Sugar / 莉莉安可頌 甜點店-台北區】</t>
  </si>
  <si>
    <t>https://www.104.com.tw/job/8p7in?jobsource=joblist_search</t>
  </si>
  <si>
    <t>營運經理</t>
  </si>
  <si>
    <t>https://www.104.com.tw/job/8ofby?jobsource=joblist_search</t>
  </si>
  <si>
    <t>月薪50,000~60,000元</t>
  </si>
  <si>
    <t>總經理室專案經理</t>
  </si>
  <si>
    <t>https://www.104.com.tw/job/826x3?jobsource=joblist_search</t>
  </si>
  <si>
    <t>獵才 &lt;行銷主管&gt; - 101AN</t>
  </si>
  <si>
    <t>https://www.104.com.tw/job/8jk3p?jobsource=joblist_search</t>
  </si>
  <si>
    <t>菁華人力資源管理顧問股份有限公司</t>
  </si>
  <si>
    <t>(新事業) 餐飲品牌 - 營運主管</t>
  </si>
  <si>
    <t>https://www.104.com.tw/job/89so2?jobsource=joblist_search</t>
  </si>
  <si>
    <t>喜繁喜股份有限公司</t>
  </si>
  <si>
    <t>Chen's nice place 外場儲備幹部</t>
  </si>
  <si>
    <t>https://www.104.com.tw/job/8gjab?jobsource=joblist_search</t>
  </si>
  <si>
    <t>萬閎食品有限公司</t>
  </si>
  <si>
    <t>門市營運督導(4.2萬起）</t>
  </si>
  <si>
    <t>https://www.104.com.tw/job/7wnm6?jobsource=joblist_search</t>
  </si>
  <si>
    <t>加盟展店 業務專員</t>
  </si>
  <si>
    <t>https://www.104.com.tw/job/4qruu?jobsource=joblist_search</t>
  </si>
  <si>
    <t>【Fungo芳菓堅果】區域督導(工作地點新北)獎金另計</t>
  </si>
  <si>
    <t>https://www.104.com.tw/job/7unwi?jobsource=joblist_search</t>
  </si>
  <si>
    <t>萬鑫企業股份有限公司</t>
  </si>
  <si>
    <t>『康青龍茶飲-東門永康店』門市幹部 40000~42000</t>
  </si>
  <si>
    <t>https://www.104.com.tw/job/5yfke?jobsource=joblist_search</t>
  </si>
  <si>
    <t>【洋石岩燒牛排】營運督導 月薪55000-62000 獎金另計</t>
  </si>
  <si>
    <t>https://www.104.com.tw/job/8n3gy?jobsource=joblist_search</t>
  </si>
  <si>
    <t>洋石岩燒牛排_晟名企業有限公司</t>
  </si>
  <si>
    <t>月薪55,000~62,000元</t>
  </si>
  <si>
    <t>百貨零售業務主管</t>
  </si>
  <si>
    <t>https://www.104.com.tw/job/8lcus?jobsource=joblist_search</t>
  </si>
  <si>
    <t>巧蕾國際貿易股份有限公司</t>
  </si>
  <si>
    <t>全省業務經理</t>
  </si>
  <si>
    <t>https://www.104.com.tw/job/7gdq8?jobsource=joblist_search</t>
  </si>
  <si>
    <t>柏希菲克股份有限公司</t>
  </si>
  <si>
    <t>[台灣HQ主管] 電商營運 副理 儲備幹部M.A.</t>
  </si>
  <si>
    <t>https://www.104.com.tw/job/7zxk7?jobsource=joblist_search</t>
  </si>
  <si>
    <t>瑞威動物科技股份有限公司</t>
  </si>
  <si>
    <t>月薪43,000~55,000元</t>
  </si>
  <si>
    <t>人力資源(HR)經理(月薪70000起)</t>
  </si>
  <si>
    <t>https://www.104.com.tw/job/8cc3b?jobsource=joblist_search</t>
  </si>
  <si>
    <t>月薪70,000~85,000元</t>
  </si>
  <si>
    <t>培訓主管【非意識腦-獨門培訓】</t>
  </si>
  <si>
    <t>https://www.104.com.tw/job/7qnf4?jobsource=joblist_search</t>
  </si>
  <si>
    <t>康成志業股份有限公司</t>
  </si>
  <si>
    <t>【代徵】知名連鎖餐飲公司_研發總監｜品保主管</t>
  </si>
  <si>
    <t>https://www.104.com.tw/job/8h92t?jobsource=joblist_search</t>
  </si>
  <si>
    <t>新加坡商艾得克有限公司台灣分公司</t>
  </si>
  <si>
    <t>高階主管特助(40000起)</t>
  </si>
  <si>
    <t>https://www.104.com.tw/job/88h7a?jobsource=joblist_search</t>
  </si>
  <si>
    <t>儲備區經理</t>
  </si>
  <si>
    <t>https://www.104.com.tw/job/88wp9?jobsource=joblist_search</t>
  </si>
  <si>
    <t>一条通壽司_誠邦食品股份有限公司</t>
  </si>
  <si>
    <t>生活保健商品PM主管</t>
  </si>
  <si>
    <t>https://www.104.com.tw/job/7wsfd?jobsource=joblist_search</t>
  </si>
  <si>
    <t>中華電信關係企業_神腦國際企業股份有限公司</t>
  </si>
  <si>
    <t>【 品牌電商】資材資深專員/主管</t>
  </si>
  <si>
    <t>https://www.104.com.tw/job/8kzld?jobsource=joblist_search</t>
  </si>
  <si>
    <t>心茶有限公司</t>
  </si>
  <si>
    <t>月薪60,000元以上</t>
  </si>
  <si>
    <t>餐飲部-餐廳副理(黯日文佳)</t>
  </si>
  <si>
    <t>https://www.104.com.tw/job/7xjdc?jobsource=joblist_search</t>
  </si>
  <si>
    <t>台灣西鐵國際旅館股份有限公司</t>
  </si>
  <si>
    <t>Ten Thousand Coffee 松菸門市經副理</t>
  </si>
  <si>
    <t>https://www.104.com.tw/job/8oqea?jobsource=joblist_search</t>
  </si>
  <si>
    <t>格陸誼有限公司</t>
  </si>
  <si>
    <t>品牌店長/儲備店長</t>
  </si>
  <si>
    <t>https://www.104.com.tw/job/76bki?jobsource=joblist_search</t>
  </si>
  <si>
    <t>coco Brownies_可可凱洛有限公司</t>
  </si>
  <si>
    <t>月薪47,000元以上</t>
  </si>
  <si>
    <t>饅饅好食 台北/新北區域門市業務經理</t>
  </si>
  <si>
    <t>https://www.104.com.tw/job/83zdi?jobsource=joblist_search</t>
  </si>
  <si>
    <t>Mum,Mum 饅饅好食_好心情國際事業有限公司</t>
  </si>
  <si>
    <t>【 品牌電商】營銷管理主管 (可部份遠端工作)</t>
  </si>
  <si>
    <t>https://www.104.com.tw/job/8kzo6?jobsource=joblist_search</t>
  </si>
  <si>
    <t>Ten Thousand Coffee 門市店長/副店長</t>
  </si>
  <si>
    <t>https://www.104.com.tw/job/8oruy?jobsource=joblist_search</t>
  </si>
  <si>
    <t>總經理特助(中原捷運站正對面)</t>
  </si>
  <si>
    <t>https://www.104.com.tw/job/8l69e?jobsource=joblist_search</t>
  </si>
  <si>
    <t>Baby Secret 寶寶的秘密_牧菓國際有限公司</t>
  </si>
  <si>
    <t>月薪70,000元</t>
  </si>
  <si>
    <t>行銷企劃經理</t>
  </si>
  <si>
    <t>https://www.104.com.tw/job/7w3sv?jobsource=joblist_search</t>
  </si>
  <si>
    <t>香港商月中秋有限公司台灣分公司</t>
  </si>
  <si>
    <t>月薪65,000元以上</t>
  </si>
  <si>
    <t>八方雲集營運督導(北北基)</t>
  </si>
  <si>
    <t>https://www.104.com.tw/job/8598g?jobsource=joblist_search</t>
  </si>
  <si>
    <t>八方雲集餐飲股份有限公司</t>
  </si>
  <si>
    <t>Ten Thousand Coffee 儲備經理</t>
  </si>
  <si>
    <t>https://www.104.com.tw/job/7sq72?jobsource=joblist_search</t>
  </si>
  <si>
    <t>【總公司】營業企劃主管</t>
  </si>
  <si>
    <t>https://www.104.com.tw/job/7e0ra?jobsource=joblist_search</t>
  </si>
  <si>
    <t>味全食品工業股份有限公司</t>
  </si>
  <si>
    <t>台北市-儲備幹部(底薪固定，獎金外加)</t>
  </si>
  <si>
    <t>https://www.104.com.tw/job/753pc?jobsource=joblist_search</t>
  </si>
  <si>
    <t>鬍鬚張股份有限公司</t>
  </si>
  <si>
    <t>業務儲備主管</t>
  </si>
  <si>
    <t>https://www.104.com.tw/job/8odb5?jobsource=joblist_search</t>
  </si>
  <si>
    <t>【擴大招募】這味泰泰- 儲備區域督導/副理/經理</t>
  </si>
  <si>
    <t>https://www.104.com.tw/job/8k70t?jobsource=joblist_search</t>
  </si>
  <si>
    <t>這味泰泰_味泰國際餐飲股份有限公司</t>
  </si>
  <si>
    <t>專櫃門市店長／管理人員（台北市主要商圈，櫃位籌備中）</t>
  </si>
  <si>
    <t>https://www.104.com.tw/job/8lweb?jobsource=joblist_search</t>
  </si>
  <si>
    <t>月薪42,000~60,000元</t>
  </si>
  <si>
    <t>經營企劃儲備幹部(總部)</t>
  </si>
  <si>
    <t>https://www.104.com.tw/job/78nhs?jobsource=joblist_search</t>
  </si>
  <si>
    <t>頂立開發實業股份有限公司</t>
  </si>
  <si>
    <t>【洋石岩燒牛排】內場主管 月薪45000-50000獎金另計</t>
  </si>
  <si>
    <t>https://www.104.com.tw/job/80wqp?jobsource=joblist_search</t>
  </si>
  <si>
    <t>【SUPRANORMAL】店經理</t>
  </si>
  <si>
    <t>https://www.104.com.tw/job/75sw7?jobsource=joblist_search</t>
  </si>
  <si>
    <t>Supranormal_以新有限公司</t>
  </si>
  <si>
    <t>總公司- 總公司主管</t>
  </si>
  <si>
    <t>https://www.104.com.tw/job/7sq7i?jobsource=joblist_search</t>
  </si>
  <si>
    <t>紅花鐵板燒_雙印食品有限公司</t>
  </si>
  <si>
    <t>企業總部-中央廚房主管</t>
  </si>
  <si>
    <t>https://www.104.com.tw/job/7gc83?jobsource=joblist_search</t>
  </si>
  <si>
    <t>典華婚訂資源整合股份有限公司</t>
  </si>
  <si>
    <t>月薪42,000~70,000元</t>
  </si>
  <si>
    <t>國外部經理</t>
  </si>
  <si>
    <t>https://www.104.com.tw/job/8bj9x?jobsource=joblist_search</t>
  </si>
  <si>
    <t>沅笙應用材料股份有限公司</t>
  </si>
  <si>
    <t>【BI】商業智慧主管 Business Intelligence Lead</t>
  </si>
  <si>
    <t>https://www.104.com.tw/job/8mofu?jobsource=joblist_search</t>
  </si>
  <si>
    <t>科林儀器股份有限公司</t>
  </si>
  <si>
    <t>【總公司】Executive Secretary 總經理室 秘書長</t>
  </si>
  <si>
    <t>https://www.104.com.tw/job/8oro9?jobsource=joblist_search</t>
  </si>
  <si>
    <t>台灣大塚製藥股份有限公司</t>
  </si>
  <si>
    <t>★饗麻饗辣★【台北南港店】內場儲備幹部</t>
  </si>
  <si>
    <t>https://www.104.com.tw/job/8mucw?jobsource=joblist_search</t>
  </si>
  <si>
    <t>饗麻饗辣_饗麻樂業有限公司</t>
  </si>
  <si>
    <t>月薪41,000~55,000元</t>
  </si>
  <si>
    <t>資深藥局店長(北市信義區)</t>
  </si>
  <si>
    <t>https://www.104.com.tw/job/8npao?jobsource=joblist_search</t>
  </si>
  <si>
    <t>壹品連鎖藥局_達承生物科技股份有限公司</t>
  </si>
  <si>
    <t>威士威酒食生活零售品牌經營承包人或合夥經營人員</t>
  </si>
  <si>
    <t>https://www.104.com.tw/job/7nyof?jobsource=joblist_search</t>
  </si>
  <si>
    <t>威耀時代股份有限公司</t>
  </si>
  <si>
    <t>月薪50,000~200,000元</t>
  </si>
  <si>
    <t>新北市-儲備幹部(底薪固定，獎金外加)</t>
  </si>
  <si>
    <t>https://www.104.com.tw/job/800a9?jobsource=joblist_search</t>
  </si>
  <si>
    <t>【餐飲品牌】課長</t>
  </si>
  <si>
    <t>https://www.104.com.tw/job/8jcl2?jobsource=joblist_search</t>
  </si>
  <si>
    <t>新東陽股份有限公司</t>
  </si>
  <si>
    <t>小草書屋暨青草職能發展學苑-副營運長</t>
  </si>
  <si>
    <t>https://www.104.com.tw/job/8cgm5?jobsource=joblist_search</t>
  </si>
  <si>
    <t>【八和和牛燒肉-敦北店】一頭班 外場儲備幹部，薪資 $40,000~55,000 + (另享每季分紅獎金$6000~27000)</t>
  </si>
  <si>
    <t>https://www.104.com.tw/job/8nbdw?jobsource=joblist_search</t>
  </si>
  <si>
    <t>八和和牛燒肉專門店/黑武士老火鍋/SSAM韓式燒肉專門店_八和餐飲有限公司</t>
  </si>
  <si>
    <t>小草書屋暨青草職能學苑-副校長</t>
  </si>
  <si>
    <t>https://www.104.com.tw/job/8mfn9?jobsource=joblist_search</t>
  </si>
  <si>
    <t>康是美儲備幹部</t>
  </si>
  <si>
    <t>https://www.104.com.tw/job/7xmsi?jobsource=joblist_search</t>
  </si>
  <si>
    <t>康是美_統一生活事業股份有限公司</t>
  </si>
  <si>
    <t>月薪39,400~46,400元</t>
  </si>
  <si>
    <t>【搬湯弄煮】營運訓練經理（營運核心夥伴）</t>
  </si>
  <si>
    <t>https://www.104.com.tw/job/8b9lw?jobsource=joblist_search</t>
  </si>
  <si>
    <t>鴻宏國際股份有限公司</t>
  </si>
  <si>
    <t>營運管理經理</t>
  </si>
  <si>
    <t>https://www.104.com.tw/job/8n7j9?jobsource=joblist_search</t>
  </si>
  <si>
    <t>福田有限公司</t>
  </si>
  <si>
    <t>箱庭 山本屋-日式喫茶屋 外場正職｜儲備幹部</t>
  </si>
  <si>
    <t>https://www.104.com.tw/job/8mv0x?jobsource=joblist_search</t>
  </si>
  <si>
    <t>結茶緣企業股份有限公司</t>
  </si>
  <si>
    <t>月薪34,000~43,000元</t>
  </si>
  <si>
    <t>Captain/外場領班</t>
  </si>
  <si>
    <t>https://www.104.com.tw/job/7z61s?jobsource=joblist_search</t>
  </si>
  <si>
    <t>Restaurant Page 頁小館_偶頁有限公司</t>
  </si>
  <si>
    <t>月薪52,000元以上</t>
  </si>
  <si>
    <t>加盟經理</t>
  </si>
  <si>
    <t>https://www.104.com.tw/job/87zie?jobsource=joblist_search</t>
  </si>
  <si>
    <t>英屬維京群島商華高時尚有限公司台灣分公司</t>
  </si>
  <si>
    <t>[擴大徵才]供應鏈SCM經理</t>
  </si>
  <si>
    <t>https://www.104.com.tw/job/8mb1g?jobsource=joblist_search</t>
  </si>
  <si>
    <t>Kenji健司_台灣真弓通商股份有限公司</t>
  </si>
  <si>
    <t>月薪75,000元</t>
  </si>
  <si>
    <t>【忠泰集團餐飲】ONIBUS：店長《大直門市》</t>
  </si>
  <si>
    <t>https://www.104.com.tw/job/8plxm?jobsource=joblist_search</t>
  </si>
  <si>
    <t>忠泰集團_幸福切片生活股份有限公司</t>
  </si>
  <si>
    <t>【凱撒飯店連鎖集團】 餐飲部協理</t>
  </si>
  <si>
    <t>https://www.104.com.tw/job/8j1rs?jobsource=joblist_search</t>
  </si>
  <si>
    <t>台北新板希爾頓酒店_凱裕商旅股份有限公司新板分公司</t>
  </si>
  <si>
    <t>F01-經營管理主管(土城)-E事業群</t>
  </si>
  <si>
    <t>https://www.104.com.tw/job/8nkjw?jobsource=joblist_search</t>
  </si>
  <si>
    <t>【貳樓餐飲集團】 會所品牌資深接待人員</t>
  </si>
  <si>
    <t>https://www.104.com.tw/job/8krbu?jobsource=joblist_search</t>
  </si>
  <si>
    <t>貳樓餐飲集團 SECOND FLOOR CAFE(北區)_貳樓餐飲股份有限公司</t>
  </si>
  <si>
    <t>早班營業儲備幹部(信義店)</t>
  </si>
  <si>
    <t>https://www.104.com.tw/job/8gx8b?jobsource=joblist_search</t>
  </si>
  <si>
    <t>ATT_吸引力生活事業股份有限公司</t>
  </si>
  <si>
    <t>月薪35,000~36,000元</t>
  </si>
  <si>
    <t>微風集團-營業主管(歡迎同業轉職，薪優另議)</t>
  </si>
  <si>
    <t>https://www.104.com.tw/job/7t40z?jobsource=joblist_search</t>
  </si>
  <si>
    <t>微風廣場實業股份有限公司</t>
  </si>
  <si>
    <t>【 品牌電商】總經理特助</t>
  </si>
  <si>
    <t>https://www.104.com.tw/job/8obe7?jobsource=joblist_search</t>
  </si>
  <si>
    <t>月薪55,000~65,000元</t>
  </si>
  <si>
    <t>經管儲備幹部</t>
  </si>
  <si>
    <t>https://www.104.com.tw/job/74sru?jobsource=joblist_search</t>
  </si>
  <si>
    <t>叁酒弍沏-店副理、店經理【薪55000-75000】月休8-10天</t>
  </si>
  <si>
    <t>https://www.104.com.tw/job/8i0n5?jobsource=joblist_search</t>
  </si>
  <si>
    <t>海峽會美食股份有限公司</t>
  </si>
  <si>
    <t>月薪55,000~75,000元</t>
  </si>
  <si>
    <t>台北生技園區-行銷主管</t>
  </si>
  <si>
    <t>https://www.104.com.tw/job/8214o?jobsource=joblist_search</t>
  </si>
  <si>
    <t>全瑩生技股份有限公司</t>
  </si>
  <si>
    <t>【樂田麵包】門市營運督導</t>
  </si>
  <si>
    <t>https://www.104.com.tw/job/81q3e?jobsource=joblist_search</t>
  </si>
  <si>
    <t>薩摩亞商客來喜餐飲股份有限公司台灣分公司</t>
  </si>
  <si>
    <t>月薪50,000~80,000元</t>
  </si>
  <si>
    <t>微風精品線上_電商營業主管</t>
  </si>
  <si>
    <t>https://www.104.com.tw/job/6emc9?jobsource=joblist_search</t>
  </si>
  <si>
    <t>藥品製劑處-副處長</t>
  </si>
  <si>
    <t>https://www.104.com.tw/job/7jjjx?jobsource=joblist_search</t>
  </si>
  <si>
    <t>財團法人醫藥工業技術發展中心</t>
  </si>
  <si>
    <t>【月薪60K-100K】燒肉PUNCH 東區3號店 店長</t>
  </si>
  <si>
    <t>https://www.104.com.tw/job/8lgbx?jobsource=joblist_search</t>
  </si>
  <si>
    <t>福滿滿股份有限公司</t>
  </si>
  <si>
    <t>【健檢中心】儲備幹部</t>
  </si>
  <si>
    <t>https://www.104.com.tw/job/8iawc?jobsource=joblist_search</t>
  </si>
  <si>
    <t>創健預防醫學機構_創健診所</t>
  </si>
  <si>
    <t>店長領班｜月薪 48K 起管理職(視職能議薪)｜一咻逆 Isshoni GumGum｜日式餐廳餐飲餐酒</t>
  </si>
  <si>
    <t>https://www.104.com.tw/job/7yf53?jobsource=joblist_search</t>
  </si>
  <si>
    <t>GumGum Beer &amp; Wings_剛剛股份有限公司</t>
  </si>
  <si>
    <t>串燒餐飲【焦糖楓】連鎖第一品牌*擴大營運徵才-儲備幹部*</t>
  </si>
  <si>
    <t>https://www.104.com.tw/job/809tr?jobsource=joblist_search</t>
  </si>
  <si>
    <t>焦糖楓串燒漢方無烟撒粉_焦唐楓餐飲文化股份有限公司</t>
  </si>
  <si>
    <t>月薪48,000~60,000元</t>
  </si>
  <si>
    <t>微風集團-百貨精品招商</t>
  </si>
  <si>
    <t>https://www.104.com.tw/job/631a2?jobsource=joblist_search</t>
  </si>
  <si>
    <t>【台北】業務主管</t>
  </si>
  <si>
    <t>https://www.104.com.tw/job/8cfk1?jobsource=joblist_search</t>
  </si>
  <si>
    <t>【愛買總公司】商品部_乾貨採購品類經理</t>
  </si>
  <si>
    <t>https://www.104.com.tw/job/8hnk0?jobsource=joblist_search</t>
  </si>
  <si>
    <t>遠百企業股份有限公司_愛買</t>
  </si>
  <si>
    <t>【八和和牛燒肉-安和店】一頭班 外場儲備幹部，薪資 $40,000~55,000 + (另享每季分紅獎金$6000~27000)</t>
  </si>
  <si>
    <t>https://www.104.com.tw/job/8nbdq?jobsource=joblist_search</t>
  </si>
  <si>
    <t>儲備店長</t>
  </si>
  <si>
    <t>https://www.104.com.tw/job/6zx2m?jobsource=joblist_search</t>
  </si>
  <si>
    <t>霏等茶freedomwingstea_豊濬商行</t>
  </si>
  <si>
    <t>月薪42,000元以上</t>
  </si>
  <si>
    <t>跨境電商 營銷主管 (中國跨境電商平台運營)</t>
  </si>
  <si>
    <t>https://www.104.com.tw/job/5quer?jobsource=joblist_search</t>
  </si>
  <si>
    <t>創易健康國際股份有限公司</t>
  </si>
  <si>
    <t>營運主管/特助</t>
  </si>
  <si>
    <t>https://www.104.com.tw/job/879qj?jobsource=joblist_search</t>
  </si>
  <si>
    <t>餐飲部-宴會廳-經理/副理</t>
  </si>
  <si>
    <t>https://www.104.com.tw/job/8pkcu?jobsource=joblist_search</t>
  </si>
  <si>
    <t>【台北】品牌百貨督導</t>
  </si>
  <si>
    <t>https://www.104.com.tw/job/8iwcb?jobsource=joblist_search</t>
  </si>
  <si>
    <t>聚美世股份有限公司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</si>
</sst>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  <xf numFmtId="0" fontId="0" fillId="0" borderId="0" xfId="0" applyNumberFormat="1" applyAlignment="1"/>
    <xf numFmtId="0" fontId="2" fillId="0" borderId="0" xfId="1" applyNumberFormat="1" applyAlignment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1"/>
  <sheetViews>
    <sheetView workbookViewId="0">
      <selection activeCell="C21" sqref="C21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32" t="s">
        <v>8</v>
      </c>
    </row>
    <row r="2" spans="1:4" x14ac:dyDescent="0.25">
      <c r="A2" s="2" t="s">
        <v>5</v>
      </c>
      <c r="B2" s="26" t="s">
        <v>725</v>
      </c>
      <c r="C2" s="20" t="s">
        <v>12</v>
      </c>
      <c r="D2" s="27" t="s">
        <v>726</v>
      </c>
    </row>
    <row r="3" spans="1:4" x14ac:dyDescent="0.25">
      <c r="A3" s="2" t="s">
        <v>7</v>
      </c>
      <c r="B3" s="26" t="s">
        <v>727</v>
      </c>
      <c r="C3" s="20" t="s">
        <v>9</v>
      </c>
      <c r="D3" s="27" t="s">
        <v>728</v>
      </c>
    </row>
    <row r="4" spans="1:4" x14ac:dyDescent="0.25">
      <c r="A4" s="2" t="s">
        <v>729</v>
      </c>
      <c r="B4" s="26" t="s">
        <v>730</v>
      </c>
      <c r="C4" s="20" t="s">
        <v>13</v>
      </c>
      <c r="D4" s="27" t="s">
        <v>731</v>
      </c>
    </row>
    <row r="5" spans="1:4" x14ac:dyDescent="0.25">
      <c r="A5" s="2"/>
      <c r="B5" s="26"/>
      <c r="C5" s="20" t="s">
        <v>16</v>
      </c>
      <c r="D5" s="27" t="s">
        <v>732</v>
      </c>
    </row>
    <row r="6" spans="1:4" x14ac:dyDescent="0.25">
      <c r="A6" s="2"/>
      <c r="B6" s="26"/>
      <c r="C6" s="20" t="s">
        <v>11</v>
      </c>
      <c r="D6" s="27" t="s">
        <v>733</v>
      </c>
    </row>
    <row r="7" spans="1:4" x14ac:dyDescent="0.25">
      <c r="A7" s="2"/>
      <c r="B7" s="26"/>
      <c r="C7" s="20" t="s">
        <v>15</v>
      </c>
      <c r="D7" s="27" t="s">
        <v>734</v>
      </c>
    </row>
    <row r="8" spans="1:4" x14ac:dyDescent="0.25">
      <c r="A8" s="2"/>
      <c r="B8" s="26"/>
      <c r="C8" s="20" t="s">
        <v>14</v>
      </c>
      <c r="D8" s="27" t="s">
        <v>735</v>
      </c>
    </row>
    <row r="9" spans="1:4" x14ac:dyDescent="0.25">
      <c r="A9" s="2"/>
      <c r="B9" s="26"/>
      <c r="C9" s="21" t="s">
        <v>47</v>
      </c>
      <c r="D9" s="28" t="s">
        <v>736</v>
      </c>
    </row>
    <row r="10" spans="1:4" x14ac:dyDescent="0.25">
      <c r="A10" s="2"/>
      <c r="B10" s="26"/>
      <c r="C10" s="21" t="s">
        <v>10</v>
      </c>
      <c r="D10" s="28" t="s">
        <v>737</v>
      </c>
    </row>
    <row r="11" spans="1:4" x14ac:dyDescent="0.25">
      <c r="A11" s="2"/>
      <c r="B11" s="26"/>
      <c r="C11" s="3" t="s">
        <v>18</v>
      </c>
      <c r="D11" s="29" t="s">
        <v>738</v>
      </c>
    </row>
    <row r="12" spans="1:4" x14ac:dyDescent="0.25">
      <c r="A12" s="2"/>
      <c r="B12" s="26"/>
      <c r="C12" s="30" t="s">
        <v>739</v>
      </c>
      <c r="D12" s="31" t="s">
        <v>740</v>
      </c>
    </row>
    <row r="13" spans="1:4" x14ac:dyDescent="0.25">
      <c r="A13" s="2"/>
      <c r="B13" s="26"/>
      <c r="C13" s="30" t="s">
        <v>741</v>
      </c>
      <c r="D13" s="31" t="s">
        <v>742</v>
      </c>
    </row>
    <row r="14" spans="1:4" x14ac:dyDescent="0.25">
      <c r="A14" s="2"/>
      <c r="B14" s="26"/>
      <c r="C14" s="30" t="s">
        <v>743</v>
      </c>
      <c r="D14" s="31" t="s">
        <v>744</v>
      </c>
    </row>
    <row r="15" spans="1:4" x14ac:dyDescent="0.25">
      <c r="A15" s="2"/>
      <c r="B15" s="26"/>
      <c r="C15" s="30" t="s">
        <v>745</v>
      </c>
      <c r="D15" s="31" t="s">
        <v>746</v>
      </c>
    </row>
    <row r="16" spans="1:4" x14ac:dyDescent="0.25">
      <c r="A16" s="2"/>
      <c r="B16" s="26"/>
      <c r="C16" s="30" t="s">
        <v>747</v>
      </c>
      <c r="D16" s="31" t="s">
        <v>748</v>
      </c>
    </row>
    <row r="17" spans="1:4" x14ac:dyDescent="0.25">
      <c r="A17" s="2"/>
      <c r="B17" s="26"/>
      <c r="C17" s="30" t="s">
        <v>749</v>
      </c>
      <c r="D17" s="31" t="s">
        <v>750</v>
      </c>
    </row>
    <row r="18" spans="1:4" x14ac:dyDescent="0.25">
      <c r="A18" s="2"/>
      <c r="B18" s="26"/>
      <c r="C18" s="30" t="s">
        <v>751</v>
      </c>
      <c r="D18" s="31" t="s">
        <v>752</v>
      </c>
    </row>
    <row r="19" spans="1:4" x14ac:dyDescent="0.25">
      <c r="A19" s="2"/>
      <c r="B19" s="26"/>
      <c r="C19" s="30" t="s">
        <v>753</v>
      </c>
      <c r="D19" s="31" t="s">
        <v>754</v>
      </c>
    </row>
    <row r="20" spans="1:4" x14ac:dyDescent="0.25">
      <c r="A20" s="2"/>
      <c r="B20" s="26"/>
      <c r="C20" s="30" t="s">
        <v>755</v>
      </c>
      <c r="D20" s="31" t="s">
        <v>756</v>
      </c>
    </row>
    <row r="21" spans="1:4" x14ac:dyDescent="0.25">
      <c r="C21" t="s">
        <v>759</v>
      </c>
      <c r="D21" s="16" t="s">
        <v>758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1"/>
  <sheetViews>
    <sheetView tabSelected="1" workbookViewId="0">
      <selection activeCell="B5" sqref="B5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1" spans="1:5" x14ac:dyDescent="0.25">
      <c r="C1" s="33" t="s">
        <v>776</v>
      </c>
    </row>
    <row r="2" spans="1:5" x14ac:dyDescent="0.25">
      <c r="C2" s="33" t="s">
        <v>777</v>
      </c>
    </row>
    <row r="3" spans="1:5" x14ac:dyDescent="0.25">
      <c r="A3" s="9" t="s">
        <v>17</v>
      </c>
      <c r="B3" s="6"/>
      <c r="C3" s="34"/>
      <c r="E3" s="6"/>
    </row>
    <row r="4" spans="1:5" ht="16.5" x14ac:dyDescent="0.25">
      <c r="A4" s="7" t="s">
        <v>23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723</v>
      </c>
      <c r="B6" s="14" t="s">
        <v>4</v>
      </c>
      <c r="C6" s="12" t="str">
        <f>_xlfn.IFNA(VLOOKUP(B6,index!A:B,2,FALSE),"")</f>
        <v>6001001000</v>
      </c>
      <c r="D6" s="15" t="s">
        <v>743</v>
      </c>
      <c r="E6" s="12" t="str">
        <f>_xlfn.IFNA(VLOOKUP(D6,index!C:D,2,FALSE),"")</f>
        <v>2001001001</v>
      </c>
    </row>
    <row r="7" spans="1:5" x14ac:dyDescent="0.25">
      <c r="A7" s="13" t="s">
        <v>774</v>
      </c>
      <c r="B7" s="14" t="s">
        <v>6</v>
      </c>
      <c r="C7" s="12" t="str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723</v>
      </c>
      <c r="B11" s="18"/>
      <c r="C11" s="18" t="s">
        <v>21</v>
      </c>
      <c r="D11" s="19"/>
      <c r="E11" s="18" t="s">
        <v>775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workbookViewId="0">
      <selection activeCell="D2" sqref="D2"/>
    </sheetView>
  </sheetViews>
  <sheetFormatPr defaultRowHeight="15.75" x14ac:dyDescent="0.25"/>
  <cols>
    <col min="1" max="1" width="31.28515625" customWidth="1"/>
    <col min="2" max="2" width="23.7109375" style="6" customWidth="1"/>
    <col min="3" max="3" width="36.140625" customWidth="1"/>
    <col min="4" max="4" width="14.28515625" customWidth="1"/>
    <col min="5" max="5" width="20.710937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778</v>
      </c>
      <c r="B2" s="6" t="s">
        <v>779</v>
      </c>
      <c r="C2" t="s">
        <v>780</v>
      </c>
      <c r="D2" t="s">
        <v>59</v>
      </c>
      <c r="E2" t="s">
        <v>332</v>
      </c>
      <c r="F2" t="s">
        <v>40</v>
      </c>
      <c r="G2">
        <v>35000</v>
      </c>
      <c r="H2">
        <v>35000</v>
      </c>
      <c r="I2">
        <v>35000</v>
      </c>
      <c r="J2" t="s">
        <v>6</v>
      </c>
      <c r="K2" t="s">
        <v>60</v>
      </c>
    </row>
    <row r="3" spans="1:11" x14ac:dyDescent="0.25">
      <c r="A3" t="s">
        <v>765</v>
      </c>
      <c r="B3" s="6" t="s">
        <v>766</v>
      </c>
      <c r="C3" t="s">
        <v>760</v>
      </c>
      <c r="D3" t="s">
        <v>48</v>
      </c>
      <c r="E3" t="s">
        <v>37</v>
      </c>
      <c r="F3" t="s">
        <v>38</v>
      </c>
      <c r="J3" t="s">
        <v>6</v>
      </c>
      <c r="K3" t="s">
        <v>49</v>
      </c>
    </row>
    <row r="4" spans="1:11" x14ac:dyDescent="0.25">
      <c r="A4" t="s">
        <v>781</v>
      </c>
      <c r="B4" s="6" t="s">
        <v>782</v>
      </c>
      <c r="C4" t="s">
        <v>780</v>
      </c>
      <c r="D4" t="s">
        <v>59</v>
      </c>
      <c r="E4" t="s">
        <v>299</v>
      </c>
      <c r="F4" t="s">
        <v>40</v>
      </c>
      <c r="G4">
        <v>38000</v>
      </c>
      <c r="H4">
        <v>50000</v>
      </c>
      <c r="I4">
        <v>44000</v>
      </c>
      <c r="J4" t="s">
        <v>6</v>
      </c>
      <c r="K4" t="s">
        <v>60</v>
      </c>
    </row>
    <row r="5" spans="1:11" x14ac:dyDescent="0.25">
      <c r="A5" t="s">
        <v>783</v>
      </c>
      <c r="B5" s="6" t="s">
        <v>784</v>
      </c>
      <c r="C5" t="s">
        <v>785</v>
      </c>
      <c r="D5" t="s">
        <v>398</v>
      </c>
      <c r="E5" t="s">
        <v>37</v>
      </c>
      <c r="F5" t="s">
        <v>38</v>
      </c>
      <c r="J5" t="s">
        <v>6</v>
      </c>
      <c r="K5" t="s">
        <v>399</v>
      </c>
    </row>
    <row r="6" spans="1:11" x14ac:dyDescent="0.25">
      <c r="A6" t="s">
        <v>786</v>
      </c>
      <c r="B6" s="6" t="s">
        <v>787</v>
      </c>
      <c r="C6" t="s">
        <v>788</v>
      </c>
      <c r="D6" t="s">
        <v>398</v>
      </c>
      <c r="E6" t="s">
        <v>37</v>
      </c>
      <c r="F6" t="s">
        <v>38</v>
      </c>
      <c r="J6" t="s">
        <v>6</v>
      </c>
      <c r="K6" t="s">
        <v>399</v>
      </c>
    </row>
    <row r="7" spans="1:11" x14ac:dyDescent="0.25">
      <c r="A7" t="s">
        <v>789</v>
      </c>
      <c r="B7" s="6" t="s">
        <v>790</v>
      </c>
      <c r="C7" t="s">
        <v>791</v>
      </c>
      <c r="D7" t="s">
        <v>70</v>
      </c>
      <c r="E7" t="s">
        <v>95</v>
      </c>
      <c r="F7" t="s">
        <v>40</v>
      </c>
      <c r="G7">
        <v>40000</v>
      </c>
      <c r="H7">
        <v>40000</v>
      </c>
      <c r="I7">
        <v>40000</v>
      </c>
      <c r="J7" t="s">
        <v>6</v>
      </c>
      <c r="K7" t="s">
        <v>71</v>
      </c>
    </row>
    <row r="8" spans="1:11" x14ac:dyDescent="0.25">
      <c r="A8" t="s">
        <v>792</v>
      </c>
      <c r="B8" s="6" t="s">
        <v>793</v>
      </c>
      <c r="C8" t="s">
        <v>794</v>
      </c>
      <c r="D8" t="s">
        <v>181</v>
      </c>
      <c r="E8" t="s">
        <v>795</v>
      </c>
      <c r="F8" t="s">
        <v>40</v>
      </c>
      <c r="G8">
        <v>50000</v>
      </c>
      <c r="H8">
        <v>100000</v>
      </c>
      <c r="I8">
        <v>75000</v>
      </c>
      <c r="J8" t="s">
        <v>6</v>
      </c>
      <c r="K8" t="s">
        <v>182</v>
      </c>
    </row>
    <row r="9" spans="1:11" x14ac:dyDescent="0.25">
      <c r="A9" t="s">
        <v>796</v>
      </c>
      <c r="B9" s="6" t="s">
        <v>797</v>
      </c>
      <c r="C9" t="s">
        <v>791</v>
      </c>
      <c r="D9" t="s">
        <v>50</v>
      </c>
      <c r="E9" t="s">
        <v>95</v>
      </c>
      <c r="F9" t="s">
        <v>40</v>
      </c>
      <c r="G9">
        <v>40000</v>
      </c>
      <c r="H9">
        <v>40000</v>
      </c>
      <c r="I9">
        <v>40000</v>
      </c>
      <c r="J9" t="s">
        <v>4</v>
      </c>
      <c r="K9" t="s">
        <v>51</v>
      </c>
    </row>
    <row r="10" spans="1:11" x14ac:dyDescent="0.25">
      <c r="A10" t="s">
        <v>798</v>
      </c>
      <c r="B10" s="6" t="s">
        <v>799</v>
      </c>
      <c r="C10" t="s">
        <v>800</v>
      </c>
      <c r="D10" t="s">
        <v>50</v>
      </c>
      <c r="E10" t="s">
        <v>37</v>
      </c>
      <c r="F10" t="s">
        <v>38</v>
      </c>
      <c r="J10" t="s">
        <v>4</v>
      </c>
      <c r="K10" t="s">
        <v>51</v>
      </c>
    </row>
    <row r="11" spans="1:11" x14ac:dyDescent="0.25">
      <c r="A11" t="s">
        <v>801</v>
      </c>
      <c r="B11" s="6" t="s">
        <v>802</v>
      </c>
      <c r="C11" t="s">
        <v>803</v>
      </c>
      <c r="D11" t="s">
        <v>55</v>
      </c>
      <c r="E11" t="s">
        <v>804</v>
      </c>
      <c r="F11" t="s">
        <v>40</v>
      </c>
      <c r="G11">
        <v>33000</v>
      </c>
      <c r="H11">
        <v>45000</v>
      </c>
      <c r="I11">
        <v>39000</v>
      </c>
      <c r="J11" t="s">
        <v>4</v>
      </c>
      <c r="K11" t="s">
        <v>56</v>
      </c>
    </row>
    <row r="12" spans="1:11" x14ac:dyDescent="0.25">
      <c r="A12" t="s">
        <v>805</v>
      </c>
      <c r="B12" s="6" t="s">
        <v>806</v>
      </c>
      <c r="C12" t="s">
        <v>807</v>
      </c>
      <c r="D12" t="s">
        <v>82</v>
      </c>
      <c r="E12" t="s">
        <v>37</v>
      </c>
      <c r="F12" t="s">
        <v>38</v>
      </c>
      <c r="J12" t="s">
        <v>4</v>
      </c>
      <c r="K12" t="s">
        <v>83</v>
      </c>
    </row>
    <row r="13" spans="1:11" x14ac:dyDescent="0.25">
      <c r="A13" t="s">
        <v>808</v>
      </c>
      <c r="B13" s="6" t="s">
        <v>809</v>
      </c>
      <c r="C13" t="s">
        <v>764</v>
      </c>
      <c r="D13" t="s">
        <v>52</v>
      </c>
      <c r="E13" t="s">
        <v>37</v>
      </c>
      <c r="F13" t="s">
        <v>38</v>
      </c>
      <c r="J13" t="s">
        <v>6</v>
      </c>
      <c r="K13" t="s">
        <v>53</v>
      </c>
    </row>
    <row r="14" spans="1:11" x14ac:dyDescent="0.25">
      <c r="A14" t="s">
        <v>810</v>
      </c>
      <c r="B14" s="6" t="s">
        <v>811</v>
      </c>
      <c r="C14" t="s">
        <v>812</v>
      </c>
      <c r="D14" t="s">
        <v>62</v>
      </c>
      <c r="E14" t="s">
        <v>37</v>
      </c>
      <c r="F14" t="s">
        <v>38</v>
      </c>
      <c r="J14" t="s">
        <v>4</v>
      </c>
      <c r="K14" t="s">
        <v>64</v>
      </c>
    </row>
    <row r="15" spans="1:11" x14ac:dyDescent="0.25">
      <c r="A15" t="s">
        <v>813</v>
      </c>
      <c r="B15" s="6" t="s">
        <v>814</v>
      </c>
      <c r="C15" t="s">
        <v>815</v>
      </c>
      <c r="D15" t="s">
        <v>59</v>
      </c>
      <c r="E15" t="s">
        <v>260</v>
      </c>
      <c r="F15" t="s">
        <v>40</v>
      </c>
      <c r="G15">
        <v>40000</v>
      </c>
      <c r="H15">
        <v>50000</v>
      </c>
      <c r="I15">
        <v>45000</v>
      </c>
      <c r="J15" t="s">
        <v>6</v>
      </c>
      <c r="K15" t="s">
        <v>60</v>
      </c>
    </row>
    <row r="16" spans="1:11" x14ac:dyDescent="0.25">
      <c r="A16" t="s">
        <v>816</v>
      </c>
      <c r="B16" s="6" t="s">
        <v>817</v>
      </c>
      <c r="C16" t="s">
        <v>772</v>
      </c>
      <c r="D16" t="s">
        <v>82</v>
      </c>
      <c r="E16" t="s">
        <v>762</v>
      </c>
      <c r="F16" t="s">
        <v>40</v>
      </c>
      <c r="G16">
        <v>40000</v>
      </c>
      <c r="H16">
        <v>48000</v>
      </c>
      <c r="I16">
        <v>44000</v>
      </c>
      <c r="J16" t="s">
        <v>4</v>
      </c>
      <c r="K16" t="s">
        <v>83</v>
      </c>
    </row>
    <row r="17" spans="1:11" x14ac:dyDescent="0.25">
      <c r="A17" t="s">
        <v>818</v>
      </c>
      <c r="B17" s="6" t="s">
        <v>819</v>
      </c>
      <c r="C17" t="s">
        <v>780</v>
      </c>
      <c r="D17" t="s">
        <v>59</v>
      </c>
      <c r="E17" t="s">
        <v>820</v>
      </c>
      <c r="F17" t="s">
        <v>40</v>
      </c>
      <c r="G17">
        <v>50000</v>
      </c>
      <c r="H17">
        <v>60000</v>
      </c>
      <c r="I17">
        <v>55000</v>
      </c>
      <c r="J17" t="s">
        <v>6</v>
      </c>
      <c r="K17" t="s">
        <v>60</v>
      </c>
    </row>
    <row r="18" spans="1:11" x14ac:dyDescent="0.25">
      <c r="A18" t="s">
        <v>821</v>
      </c>
      <c r="B18" s="6" t="s">
        <v>822</v>
      </c>
      <c r="C18" t="s">
        <v>761</v>
      </c>
      <c r="D18" t="s">
        <v>126</v>
      </c>
      <c r="E18" t="s">
        <v>37</v>
      </c>
      <c r="F18" t="s">
        <v>38</v>
      </c>
      <c r="J18" t="s">
        <v>6</v>
      </c>
      <c r="K18" t="s">
        <v>127</v>
      </c>
    </row>
    <row r="19" spans="1:11" x14ac:dyDescent="0.25">
      <c r="A19" t="s">
        <v>823</v>
      </c>
      <c r="B19" s="6" t="s">
        <v>824</v>
      </c>
      <c r="C19" t="s">
        <v>825</v>
      </c>
      <c r="D19" t="s">
        <v>68</v>
      </c>
      <c r="E19" t="s">
        <v>37</v>
      </c>
      <c r="F19" t="s">
        <v>38</v>
      </c>
      <c r="J19" t="s">
        <v>4</v>
      </c>
      <c r="K19" t="s">
        <v>69</v>
      </c>
    </row>
    <row r="20" spans="1:11" x14ac:dyDescent="0.25">
      <c r="A20" t="s">
        <v>826</v>
      </c>
      <c r="B20" s="6" t="s">
        <v>827</v>
      </c>
      <c r="C20" t="s">
        <v>828</v>
      </c>
      <c r="D20" t="s">
        <v>82</v>
      </c>
      <c r="E20" t="s">
        <v>37</v>
      </c>
      <c r="F20" t="s">
        <v>38</v>
      </c>
      <c r="J20" t="s">
        <v>4</v>
      </c>
      <c r="K20" t="s">
        <v>83</v>
      </c>
    </row>
    <row r="21" spans="1:11" x14ac:dyDescent="0.25">
      <c r="A21" t="s">
        <v>829</v>
      </c>
      <c r="B21" s="6" t="s">
        <v>830</v>
      </c>
      <c r="C21" t="s">
        <v>831</v>
      </c>
      <c r="D21" t="s">
        <v>82</v>
      </c>
      <c r="E21" t="s">
        <v>37</v>
      </c>
      <c r="F21" t="s">
        <v>38</v>
      </c>
      <c r="J21" t="s">
        <v>4</v>
      </c>
      <c r="K21" t="s">
        <v>83</v>
      </c>
    </row>
    <row r="22" spans="1:11" x14ac:dyDescent="0.25">
      <c r="A22" t="s">
        <v>832</v>
      </c>
      <c r="B22" s="6" t="s">
        <v>833</v>
      </c>
      <c r="C22" t="s">
        <v>462</v>
      </c>
      <c r="D22" t="s">
        <v>52</v>
      </c>
      <c r="E22" t="s">
        <v>113</v>
      </c>
      <c r="F22" t="s">
        <v>40</v>
      </c>
      <c r="G22">
        <v>42000</v>
      </c>
      <c r="H22">
        <v>55000</v>
      </c>
      <c r="I22">
        <v>48500</v>
      </c>
      <c r="J22" t="s">
        <v>6</v>
      </c>
      <c r="K22" t="s">
        <v>53</v>
      </c>
    </row>
    <row r="23" spans="1:11" x14ac:dyDescent="0.25">
      <c r="A23" t="s">
        <v>834</v>
      </c>
      <c r="B23" s="6" t="s">
        <v>835</v>
      </c>
      <c r="C23" t="s">
        <v>815</v>
      </c>
      <c r="D23" t="s">
        <v>59</v>
      </c>
      <c r="E23" t="s">
        <v>95</v>
      </c>
      <c r="F23" t="s">
        <v>40</v>
      </c>
      <c r="G23">
        <v>40000</v>
      </c>
      <c r="H23">
        <v>40000</v>
      </c>
      <c r="I23">
        <v>40000</v>
      </c>
      <c r="J23" t="s">
        <v>6</v>
      </c>
      <c r="K23" t="s">
        <v>60</v>
      </c>
    </row>
    <row r="24" spans="1:11" x14ac:dyDescent="0.25">
      <c r="A24" t="s">
        <v>836</v>
      </c>
      <c r="B24" s="6" t="s">
        <v>837</v>
      </c>
      <c r="C24" t="s">
        <v>838</v>
      </c>
      <c r="D24" t="s">
        <v>57</v>
      </c>
      <c r="E24" t="s">
        <v>763</v>
      </c>
      <c r="F24" t="s">
        <v>40</v>
      </c>
      <c r="G24">
        <v>40000</v>
      </c>
      <c r="H24">
        <v>42000</v>
      </c>
      <c r="I24">
        <v>41000</v>
      </c>
      <c r="J24" t="s">
        <v>6</v>
      </c>
      <c r="K24" t="s">
        <v>58</v>
      </c>
    </row>
    <row r="25" spans="1:11" x14ac:dyDescent="0.25">
      <c r="A25" t="s">
        <v>839</v>
      </c>
      <c r="B25" s="6" t="s">
        <v>840</v>
      </c>
      <c r="C25" t="s">
        <v>815</v>
      </c>
      <c r="D25" t="s">
        <v>82</v>
      </c>
      <c r="E25" t="s">
        <v>763</v>
      </c>
      <c r="F25" t="s">
        <v>40</v>
      </c>
      <c r="G25">
        <v>40000</v>
      </c>
      <c r="H25">
        <v>42000</v>
      </c>
      <c r="I25">
        <v>41000</v>
      </c>
      <c r="J25" t="s">
        <v>4</v>
      </c>
      <c r="K25" t="s">
        <v>83</v>
      </c>
    </row>
    <row r="26" spans="1:11" x14ac:dyDescent="0.25">
      <c r="A26" t="s">
        <v>841</v>
      </c>
      <c r="B26" s="6" t="s">
        <v>842</v>
      </c>
      <c r="C26" t="s">
        <v>843</v>
      </c>
      <c r="D26" t="s">
        <v>82</v>
      </c>
      <c r="E26" t="s">
        <v>844</v>
      </c>
      <c r="F26" t="s">
        <v>40</v>
      </c>
      <c r="G26">
        <v>55000</v>
      </c>
      <c r="H26">
        <v>62000</v>
      </c>
      <c r="I26">
        <v>58500</v>
      </c>
      <c r="J26" t="s">
        <v>4</v>
      </c>
      <c r="K26" t="s">
        <v>83</v>
      </c>
    </row>
    <row r="27" spans="1:11" x14ac:dyDescent="0.25">
      <c r="A27" t="s">
        <v>845</v>
      </c>
      <c r="B27" s="6" t="s">
        <v>846</v>
      </c>
      <c r="C27" t="s">
        <v>847</v>
      </c>
      <c r="D27" t="s">
        <v>308</v>
      </c>
      <c r="E27" t="s">
        <v>37</v>
      </c>
      <c r="F27" t="s">
        <v>38</v>
      </c>
      <c r="J27" t="s">
        <v>6</v>
      </c>
      <c r="K27" t="s">
        <v>309</v>
      </c>
    </row>
    <row r="28" spans="1:11" x14ac:dyDescent="0.25">
      <c r="A28" t="s">
        <v>848</v>
      </c>
      <c r="B28" s="6" t="s">
        <v>849</v>
      </c>
      <c r="C28" t="s">
        <v>850</v>
      </c>
      <c r="D28" t="s">
        <v>154</v>
      </c>
      <c r="E28" t="s">
        <v>37</v>
      </c>
      <c r="F28" t="s">
        <v>38</v>
      </c>
      <c r="J28" t="s">
        <v>6</v>
      </c>
      <c r="K28" t="s">
        <v>155</v>
      </c>
    </row>
    <row r="29" spans="1:11" x14ac:dyDescent="0.25">
      <c r="A29" t="s">
        <v>851</v>
      </c>
      <c r="B29" s="6" t="s">
        <v>852</v>
      </c>
      <c r="C29" t="s">
        <v>853</v>
      </c>
      <c r="D29" t="s">
        <v>154</v>
      </c>
      <c r="E29" t="s">
        <v>854</v>
      </c>
      <c r="F29" t="s">
        <v>40</v>
      </c>
      <c r="G29">
        <v>43000</v>
      </c>
      <c r="H29">
        <v>55000</v>
      </c>
      <c r="I29">
        <v>49000</v>
      </c>
      <c r="J29" t="s">
        <v>6</v>
      </c>
      <c r="K29" t="s">
        <v>155</v>
      </c>
    </row>
    <row r="30" spans="1:11" x14ac:dyDescent="0.25">
      <c r="A30" t="s">
        <v>855</v>
      </c>
      <c r="B30" s="6" t="s">
        <v>856</v>
      </c>
      <c r="C30" t="s">
        <v>462</v>
      </c>
      <c r="D30" t="s">
        <v>52</v>
      </c>
      <c r="E30" t="s">
        <v>857</v>
      </c>
      <c r="F30" t="s">
        <v>40</v>
      </c>
      <c r="G30">
        <v>70000</v>
      </c>
      <c r="H30">
        <v>85000</v>
      </c>
      <c r="I30">
        <v>77500</v>
      </c>
      <c r="J30" t="s">
        <v>6</v>
      </c>
      <c r="K30" t="s">
        <v>53</v>
      </c>
    </row>
    <row r="31" spans="1:11" x14ac:dyDescent="0.25">
      <c r="A31" t="s">
        <v>858</v>
      </c>
      <c r="B31" s="6" t="s">
        <v>859</v>
      </c>
      <c r="C31" t="s">
        <v>860</v>
      </c>
      <c r="D31" t="s">
        <v>55</v>
      </c>
      <c r="E31" t="s">
        <v>37</v>
      </c>
      <c r="F31" t="s">
        <v>38</v>
      </c>
      <c r="J31" t="s">
        <v>4</v>
      </c>
      <c r="K31" t="s">
        <v>56</v>
      </c>
    </row>
    <row r="32" spans="1:11" x14ac:dyDescent="0.25">
      <c r="A32" t="s">
        <v>767</v>
      </c>
      <c r="B32" s="6" t="s">
        <v>768</v>
      </c>
      <c r="C32" t="s">
        <v>769</v>
      </c>
      <c r="D32" t="s">
        <v>154</v>
      </c>
      <c r="E32" t="s">
        <v>365</v>
      </c>
      <c r="F32" t="s">
        <v>40</v>
      </c>
      <c r="G32">
        <v>40000</v>
      </c>
      <c r="H32">
        <v>60000</v>
      </c>
      <c r="I32">
        <v>50000</v>
      </c>
      <c r="J32" t="s">
        <v>6</v>
      </c>
      <c r="K32" t="s">
        <v>155</v>
      </c>
    </row>
    <row r="33" spans="1:11" x14ac:dyDescent="0.25">
      <c r="A33" t="s">
        <v>861</v>
      </c>
      <c r="B33" s="6" t="s">
        <v>862</v>
      </c>
      <c r="C33" t="s">
        <v>863</v>
      </c>
      <c r="D33" t="s">
        <v>50</v>
      </c>
      <c r="E33" t="s">
        <v>37</v>
      </c>
      <c r="F33" t="s">
        <v>38</v>
      </c>
      <c r="J33" t="s">
        <v>4</v>
      </c>
      <c r="K33" t="s">
        <v>51</v>
      </c>
    </row>
    <row r="34" spans="1:11" x14ac:dyDescent="0.25">
      <c r="A34" t="s">
        <v>864</v>
      </c>
      <c r="B34" s="6" t="s">
        <v>865</v>
      </c>
      <c r="C34" t="s">
        <v>462</v>
      </c>
      <c r="D34" t="s">
        <v>52</v>
      </c>
      <c r="E34" t="s">
        <v>37</v>
      </c>
      <c r="F34" t="s">
        <v>38</v>
      </c>
      <c r="J34" t="s">
        <v>6</v>
      </c>
      <c r="K34" t="s">
        <v>53</v>
      </c>
    </row>
    <row r="35" spans="1:11" x14ac:dyDescent="0.25">
      <c r="A35" t="s">
        <v>866</v>
      </c>
      <c r="B35" s="6" t="s">
        <v>867</v>
      </c>
      <c r="C35" t="s">
        <v>868</v>
      </c>
      <c r="D35" t="s">
        <v>57</v>
      </c>
      <c r="E35" t="s">
        <v>203</v>
      </c>
      <c r="F35" t="s">
        <v>40</v>
      </c>
      <c r="G35">
        <v>50000</v>
      </c>
      <c r="H35">
        <v>50000</v>
      </c>
      <c r="I35">
        <v>50000</v>
      </c>
      <c r="J35" t="s">
        <v>6</v>
      </c>
      <c r="K35" t="s">
        <v>58</v>
      </c>
    </row>
    <row r="36" spans="1:11" x14ac:dyDescent="0.25">
      <c r="A36" t="s">
        <v>869</v>
      </c>
      <c r="B36" s="6" t="s">
        <v>870</v>
      </c>
      <c r="C36" t="s">
        <v>871</v>
      </c>
      <c r="D36" t="s">
        <v>57</v>
      </c>
      <c r="E36" t="s">
        <v>37</v>
      </c>
      <c r="F36" t="s">
        <v>38</v>
      </c>
      <c r="J36" t="s">
        <v>6</v>
      </c>
      <c r="K36" t="s">
        <v>58</v>
      </c>
    </row>
    <row r="37" spans="1:11" x14ac:dyDescent="0.25">
      <c r="A37" t="s">
        <v>872</v>
      </c>
      <c r="B37" s="6" t="s">
        <v>873</v>
      </c>
      <c r="C37" t="s">
        <v>874</v>
      </c>
      <c r="D37" t="s">
        <v>256</v>
      </c>
      <c r="E37" t="s">
        <v>875</v>
      </c>
      <c r="F37" t="s">
        <v>40</v>
      </c>
      <c r="G37">
        <v>60000</v>
      </c>
      <c r="H37">
        <v>60000</v>
      </c>
      <c r="I37">
        <v>60000</v>
      </c>
      <c r="J37" t="s">
        <v>4</v>
      </c>
      <c r="K37" t="s">
        <v>257</v>
      </c>
    </row>
    <row r="38" spans="1:11" x14ac:dyDescent="0.25">
      <c r="A38" t="s">
        <v>876</v>
      </c>
      <c r="B38" s="6" t="s">
        <v>877</v>
      </c>
      <c r="C38" t="s">
        <v>878</v>
      </c>
      <c r="D38" t="s">
        <v>442</v>
      </c>
      <c r="E38" t="s">
        <v>136</v>
      </c>
      <c r="F38" t="s">
        <v>40</v>
      </c>
      <c r="G38">
        <v>40000</v>
      </c>
      <c r="H38">
        <v>55000</v>
      </c>
      <c r="I38">
        <v>47500</v>
      </c>
      <c r="J38" t="s">
        <v>4</v>
      </c>
      <c r="K38" t="s">
        <v>443</v>
      </c>
    </row>
    <row r="39" spans="1:11" x14ac:dyDescent="0.25">
      <c r="A39" t="s">
        <v>879</v>
      </c>
      <c r="B39" s="6" t="s">
        <v>880</v>
      </c>
      <c r="C39" t="s">
        <v>881</v>
      </c>
      <c r="D39" t="s">
        <v>50</v>
      </c>
      <c r="E39" t="s">
        <v>75</v>
      </c>
      <c r="F39" t="s">
        <v>40</v>
      </c>
      <c r="G39">
        <v>45000</v>
      </c>
      <c r="H39">
        <v>45000</v>
      </c>
      <c r="I39">
        <v>45000</v>
      </c>
      <c r="J39" t="s">
        <v>4</v>
      </c>
      <c r="K39" t="s">
        <v>51</v>
      </c>
    </row>
    <row r="40" spans="1:11" x14ac:dyDescent="0.25">
      <c r="A40" t="s">
        <v>882</v>
      </c>
      <c r="B40" s="6" t="s">
        <v>883</v>
      </c>
      <c r="C40" t="s">
        <v>884</v>
      </c>
      <c r="D40" t="s">
        <v>82</v>
      </c>
      <c r="E40" t="s">
        <v>885</v>
      </c>
      <c r="F40" t="s">
        <v>40</v>
      </c>
      <c r="G40">
        <v>47000</v>
      </c>
      <c r="H40">
        <v>47000</v>
      </c>
      <c r="I40">
        <v>47000</v>
      </c>
      <c r="J40" t="s">
        <v>4</v>
      </c>
      <c r="K40" t="s">
        <v>83</v>
      </c>
    </row>
    <row r="41" spans="1:11" x14ac:dyDescent="0.25">
      <c r="A41" t="s">
        <v>886</v>
      </c>
      <c r="B41" s="6" t="s">
        <v>887</v>
      </c>
      <c r="C41" t="s">
        <v>888</v>
      </c>
      <c r="D41" t="s">
        <v>65</v>
      </c>
      <c r="E41" t="s">
        <v>37</v>
      </c>
      <c r="F41" t="s">
        <v>38</v>
      </c>
      <c r="J41" t="s">
        <v>4</v>
      </c>
      <c r="K41" t="s">
        <v>66</v>
      </c>
    </row>
    <row r="42" spans="1:11" x14ac:dyDescent="0.25">
      <c r="A42" t="s">
        <v>889</v>
      </c>
      <c r="B42" s="6" t="s">
        <v>890</v>
      </c>
      <c r="C42" t="s">
        <v>874</v>
      </c>
      <c r="D42" t="s">
        <v>256</v>
      </c>
      <c r="E42" t="s">
        <v>203</v>
      </c>
      <c r="F42" t="s">
        <v>40</v>
      </c>
      <c r="G42">
        <v>50000</v>
      </c>
      <c r="H42">
        <v>50000</v>
      </c>
      <c r="I42">
        <v>50000</v>
      </c>
      <c r="J42" t="s">
        <v>4</v>
      </c>
      <c r="K42" t="s">
        <v>257</v>
      </c>
    </row>
    <row r="43" spans="1:11" x14ac:dyDescent="0.25">
      <c r="A43" t="s">
        <v>891</v>
      </c>
      <c r="B43" s="6" t="s">
        <v>892</v>
      </c>
      <c r="C43" t="s">
        <v>881</v>
      </c>
      <c r="D43" t="s">
        <v>62</v>
      </c>
      <c r="E43" t="s">
        <v>95</v>
      </c>
      <c r="F43" t="s">
        <v>40</v>
      </c>
      <c r="G43">
        <v>40000</v>
      </c>
      <c r="H43">
        <v>40000</v>
      </c>
      <c r="I43">
        <v>40000</v>
      </c>
      <c r="J43" t="s">
        <v>4</v>
      </c>
      <c r="K43" t="s">
        <v>64</v>
      </c>
    </row>
    <row r="44" spans="1:11" x14ac:dyDescent="0.25">
      <c r="A44" t="s">
        <v>893</v>
      </c>
      <c r="B44" s="6" t="s">
        <v>894</v>
      </c>
      <c r="C44" t="s">
        <v>895</v>
      </c>
      <c r="D44" t="s">
        <v>52</v>
      </c>
      <c r="E44" t="s">
        <v>896</v>
      </c>
      <c r="F44" t="s">
        <v>40</v>
      </c>
      <c r="G44">
        <v>70000</v>
      </c>
      <c r="H44">
        <v>70000</v>
      </c>
      <c r="I44">
        <v>70000</v>
      </c>
      <c r="J44" t="s">
        <v>6</v>
      </c>
      <c r="K44" t="s">
        <v>53</v>
      </c>
    </row>
    <row r="45" spans="1:11" x14ac:dyDescent="0.25">
      <c r="A45" t="s">
        <v>897</v>
      </c>
      <c r="B45" s="6" t="s">
        <v>898</v>
      </c>
      <c r="C45" t="s">
        <v>899</v>
      </c>
      <c r="D45" t="s">
        <v>50</v>
      </c>
      <c r="E45" t="s">
        <v>900</v>
      </c>
      <c r="F45" t="s">
        <v>40</v>
      </c>
      <c r="G45">
        <v>65000</v>
      </c>
      <c r="H45">
        <v>65000</v>
      </c>
      <c r="I45">
        <v>65000</v>
      </c>
      <c r="J45" t="s">
        <v>4</v>
      </c>
      <c r="K45" t="s">
        <v>51</v>
      </c>
    </row>
    <row r="46" spans="1:11" x14ac:dyDescent="0.25">
      <c r="A46" t="s">
        <v>901</v>
      </c>
      <c r="B46" s="6" t="s">
        <v>902</v>
      </c>
      <c r="C46" t="s">
        <v>903</v>
      </c>
      <c r="D46" t="s">
        <v>126</v>
      </c>
      <c r="E46" t="s">
        <v>203</v>
      </c>
      <c r="F46" t="s">
        <v>40</v>
      </c>
      <c r="G46">
        <v>50000</v>
      </c>
      <c r="H46">
        <v>50000</v>
      </c>
      <c r="I46">
        <v>50000</v>
      </c>
      <c r="J46" t="s">
        <v>6</v>
      </c>
      <c r="K46" t="s">
        <v>127</v>
      </c>
    </row>
    <row r="47" spans="1:11" x14ac:dyDescent="0.25">
      <c r="A47" t="s">
        <v>904</v>
      </c>
      <c r="B47" s="6" t="s">
        <v>905</v>
      </c>
      <c r="C47" t="s">
        <v>881</v>
      </c>
      <c r="D47" t="s">
        <v>62</v>
      </c>
      <c r="E47" t="s">
        <v>95</v>
      </c>
      <c r="F47" t="s">
        <v>40</v>
      </c>
      <c r="G47">
        <v>40000</v>
      </c>
      <c r="H47">
        <v>40000</v>
      </c>
      <c r="I47">
        <v>40000</v>
      </c>
      <c r="J47" t="s">
        <v>4</v>
      </c>
      <c r="K47" t="s">
        <v>64</v>
      </c>
    </row>
    <row r="48" spans="1:11" x14ac:dyDescent="0.25">
      <c r="A48" t="s">
        <v>906</v>
      </c>
      <c r="B48" s="6" t="s">
        <v>907</v>
      </c>
      <c r="C48" t="s">
        <v>908</v>
      </c>
      <c r="D48" t="s">
        <v>55</v>
      </c>
      <c r="E48" t="s">
        <v>37</v>
      </c>
      <c r="F48" t="s">
        <v>38</v>
      </c>
      <c r="J48" t="s">
        <v>4</v>
      </c>
      <c r="K48" t="s">
        <v>56</v>
      </c>
    </row>
    <row r="49" spans="1:11" x14ac:dyDescent="0.25">
      <c r="A49" t="s">
        <v>909</v>
      </c>
      <c r="B49" s="6" t="s">
        <v>910</v>
      </c>
      <c r="C49" t="s">
        <v>911</v>
      </c>
      <c r="D49" t="s">
        <v>55</v>
      </c>
      <c r="E49" t="s">
        <v>61</v>
      </c>
      <c r="F49" t="s">
        <v>40</v>
      </c>
      <c r="G49">
        <v>35000</v>
      </c>
      <c r="H49">
        <v>40000</v>
      </c>
      <c r="I49">
        <v>37500</v>
      </c>
      <c r="J49" t="s">
        <v>4</v>
      </c>
      <c r="K49" t="s">
        <v>56</v>
      </c>
    </row>
    <row r="50" spans="1:11" x14ac:dyDescent="0.25">
      <c r="A50" t="s">
        <v>912</v>
      </c>
      <c r="B50" s="6" t="s">
        <v>913</v>
      </c>
      <c r="C50" t="s">
        <v>850</v>
      </c>
      <c r="D50" t="s">
        <v>154</v>
      </c>
      <c r="E50" t="s">
        <v>37</v>
      </c>
      <c r="F50" t="s">
        <v>38</v>
      </c>
      <c r="J50" t="s">
        <v>6</v>
      </c>
      <c r="K50" t="s">
        <v>155</v>
      </c>
    </row>
    <row r="51" spans="1:11" x14ac:dyDescent="0.25">
      <c r="A51" t="s">
        <v>914</v>
      </c>
      <c r="B51" s="6" t="s">
        <v>915</v>
      </c>
      <c r="C51" t="s">
        <v>916</v>
      </c>
      <c r="D51" t="s">
        <v>62</v>
      </c>
      <c r="E51" t="s">
        <v>37</v>
      </c>
      <c r="F51" t="s">
        <v>38</v>
      </c>
      <c r="J51" t="s">
        <v>4</v>
      </c>
      <c r="K51" t="s">
        <v>64</v>
      </c>
    </row>
    <row r="52" spans="1:11" x14ac:dyDescent="0.25">
      <c r="A52" t="s">
        <v>917</v>
      </c>
      <c r="B52" s="6" t="s">
        <v>918</v>
      </c>
      <c r="C52" t="s">
        <v>874</v>
      </c>
      <c r="D52" t="s">
        <v>256</v>
      </c>
      <c r="E52" t="s">
        <v>919</v>
      </c>
      <c r="F52" t="s">
        <v>40</v>
      </c>
      <c r="G52">
        <v>42000</v>
      </c>
      <c r="H52">
        <v>60000</v>
      </c>
      <c r="I52">
        <v>51000</v>
      </c>
      <c r="J52" t="s">
        <v>4</v>
      </c>
      <c r="K52" t="s">
        <v>257</v>
      </c>
    </row>
    <row r="53" spans="1:11" x14ac:dyDescent="0.25">
      <c r="A53" t="s">
        <v>920</v>
      </c>
      <c r="B53" s="6" t="s">
        <v>921</v>
      </c>
      <c r="C53" t="s">
        <v>922</v>
      </c>
      <c r="D53" t="s">
        <v>55</v>
      </c>
      <c r="E53" t="s">
        <v>37</v>
      </c>
      <c r="F53" t="s">
        <v>38</v>
      </c>
      <c r="J53" t="s">
        <v>4</v>
      </c>
      <c r="K53" t="s">
        <v>56</v>
      </c>
    </row>
    <row r="54" spans="1:11" x14ac:dyDescent="0.25">
      <c r="A54" t="s">
        <v>923</v>
      </c>
      <c r="B54" s="6" t="s">
        <v>924</v>
      </c>
      <c r="C54" t="s">
        <v>843</v>
      </c>
      <c r="D54" t="s">
        <v>82</v>
      </c>
      <c r="E54" t="s">
        <v>232</v>
      </c>
      <c r="F54" t="s">
        <v>40</v>
      </c>
      <c r="G54">
        <v>45000</v>
      </c>
      <c r="H54">
        <v>50000</v>
      </c>
      <c r="I54">
        <v>47500</v>
      </c>
      <c r="J54" t="s">
        <v>4</v>
      </c>
      <c r="K54" t="s">
        <v>83</v>
      </c>
    </row>
    <row r="55" spans="1:11" x14ac:dyDescent="0.25">
      <c r="A55" t="s">
        <v>925</v>
      </c>
      <c r="B55" s="6" t="s">
        <v>926</v>
      </c>
      <c r="C55" t="s">
        <v>927</v>
      </c>
      <c r="D55" t="s">
        <v>315</v>
      </c>
      <c r="E55" t="s">
        <v>37</v>
      </c>
      <c r="F55" t="s">
        <v>38</v>
      </c>
      <c r="J55" t="s">
        <v>4</v>
      </c>
      <c r="K55" t="s">
        <v>316</v>
      </c>
    </row>
    <row r="56" spans="1:11" x14ac:dyDescent="0.25">
      <c r="A56" t="s">
        <v>928</v>
      </c>
      <c r="B56" s="6" t="s">
        <v>929</v>
      </c>
      <c r="C56" t="s">
        <v>930</v>
      </c>
      <c r="D56" t="s">
        <v>82</v>
      </c>
      <c r="E56" t="s">
        <v>37</v>
      </c>
      <c r="F56" t="s">
        <v>38</v>
      </c>
      <c r="J56" t="s">
        <v>4</v>
      </c>
      <c r="K56" t="s">
        <v>83</v>
      </c>
    </row>
    <row r="57" spans="1:11" x14ac:dyDescent="0.25">
      <c r="A57" t="s">
        <v>931</v>
      </c>
      <c r="B57" s="6" t="s">
        <v>932</v>
      </c>
      <c r="C57" t="s">
        <v>933</v>
      </c>
      <c r="D57" t="s">
        <v>55</v>
      </c>
      <c r="E57" t="s">
        <v>934</v>
      </c>
      <c r="F57" t="s">
        <v>40</v>
      </c>
      <c r="G57">
        <v>42000</v>
      </c>
      <c r="H57">
        <v>70000</v>
      </c>
      <c r="I57">
        <v>56000</v>
      </c>
      <c r="J57" t="s">
        <v>4</v>
      </c>
      <c r="K57" t="s">
        <v>56</v>
      </c>
    </row>
    <row r="58" spans="1:11" x14ac:dyDescent="0.25">
      <c r="A58" t="s">
        <v>935</v>
      </c>
      <c r="B58" s="6" t="s">
        <v>936</v>
      </c>
      <c r="C58" t="s">
        <v>937</v>
      </c>
      <c r="D58" t="s">
        <v>331</v>
      </c>
      <c r="E58" t="s">
        <v>37</v>
      </c>
      <c r="F58" t="s">
        <v>38</v>
      </c>
      <c r="J58" t="s">
        <v>4</v>
      </c>
      <c r="K58" t="s">
        <v>333</v>
      </c>
    </row>
    <row r="59" spans="1:11" x14ac:dyDescent="0.25">
      <c r="A59" t="s">
        <v>938</v>
      </c>
      <c r="B59" s="6" t="s">
        <v>939</v>
      </c>
      <c r="C59" t="s">
        <v>940</v>
      </c>
      <c r="D59" t="s">
        <v>52</v>
      </c>
      <c r="E59" t="s">
        <v>37</v>
      </c>
      <c r="F59" t="s">
        <v>38</v>
      </c>
      <c r="J59" t="s">
        <v>6</v>
      </c>
      <c r="K59" t="s">
        <v>53</v>
      </c>
    </row>
    <row r="60" spans="1:11" x14ac:dyDescent="0.25">
      <c r="A60" t="s">
        <v>941</v>
      </c>
      <c r="B60" s="6" t="s">
        <v>942</v>
      </c>
      <c r="C60" t="s">
        <v>943</v>
      </c>
      <c r="D60" t="s">
        <v>55</v>
      </c>
      <c r="E60" t="s">
        <v>37</v>
      </c>
      <c r="F60" t="s">
        <v>38</v>
      </c>
      <c r="J60" t="s">
        <v>4</v>
      </c>
      <c r="K60" t="s">
        <v>56</v>
      </c>
    </row>
    <row r="61" spans="1:11" x14ac:dyDescent="0.25">
      <c r="A61" t="s">
        <v>944</v>
      </c>
      <c r="B61" s="6" t="s">
        <v>945</v>
      </c>
      <c r="C61" t="s">
        <v>946</v>
      </c>
      <c r="D61" t="s">
        <v>43</v>
      </c>
      <c r="E61" t="s">
        <v>947</v>
      </c>
      <c r="F61" t="s">
        <v>40</v>
      </c>
      <c r="G61">
        <v>41000</v>
      </c>
      <c r="H61">
        <v>55000</v>
      </c>
      <c r="I61">
        <v>48000</v>
      </c>
      <c r="J61" t="s">
        <v>4</v>
      </c>
      <c r="K61" t="s">
        <v>46</v>
      </c>
    </row>
    <row r="62" spans="1:11" x14ac:dyDescent="0.25">
      <c r="A62" t="s">
        <v>948</v>
      </c>
      <c r="B62" s="6" t="s">
        <v>949</v>
      </c>
      <c r="C62" t="s">
        <v>950</v>
      </c>
      <c r="D62" t="s">
        <v>50</v>
      </c>
      <c r="E62" t="s">
        <v>272</v>
      </c>
      <c r="F62" t="s">
        <v>40</v>
      </c>
      <c r="G62">
        <v>45000</v>
      </c>
      <c r="H62">
        <v>60000</v>
      </c>
      <c r="I62">
        <v>52500</v>
      </c>
      <c r="J62" t="s">
        <v>4</v>
      </c>
      <c r="K62" t="s">
        <v>51</v>
      </c>
    </row>
    <row r="63" spans="1:11" x14ac:dyDescent="0.25">
      <c r="A63" t="s">
        <v>951</v>
      </c>
      <c r="B63" s="6" t="s">
        <v>952</v>
      </c>
      <c r="C63" t="s">
        <v>953</v>
      </c>
      <c r="D63" t="s">
        <v>62</v>
      </c>
      <c r="E63" t="s">
        <v>954</v>
      </c>
      <c r="F63" t="s">
        <v>40</v>
      </c>
      <c r="G63">
        <v>50000</v>
      </c>
      <c r="H63">
        <v>200000</v>
      </c>
      <c r="I63">
        <v>125000</v>
      </c>
      <c r="J63" t="s">
        <v>4</v>
      </c>
      <c r="K63" t="s">
        <v>64</v>
      </c>
    </row>
    <row r="64" spans="1:11" x14ac:dyDescent="0.25">
      <c r="A64" t="s">
        <v>955</v>
      </c>
      <c r="B64" s="6" t="s">
        <v>956</v>
      </c>
      <c r="C64" t="s">
        <v>911</v>
      </c>
      <c r="D64" t="s">
        <v>70</v>
      </c>
      <c r="E64" t="s">
        <v>61</v>
      </c>
      <c r="F64" t="s">
        <v>40</v>
      </c>
      <c r="G64">
        <v>35000</v>
      </c>
      <c r="H64">
        <v>40000</v>
      </c>
      <c r="I64">
        <v>37500</v>
      </c>
      <c r="J64" t="s">
        <v>6</v>
      </c>
      <c r="K64" t="s">
        <v>71</v>
      </c>
    </row>
    <row r="65" spans="1:11" x14ac:dyDescent="0.25">
      <c r="A65" t="s">
        <v>957</v>
      </c>
      <c r="B65" s="6" t="s">
        <v>958</v>
      </c>
      <c r="C65" t="s">
        <v>959</v>
      </c>
      <c r="D65" t="s">
        <v>82</v>
      </c>
      <c r="E65" t="s">
        <v>37</v>
      </c>
      <c r="F65" t="s">
        <v>38</v>
      </c>
      <c r="J65" t="s">
        <v>4</v>
      </c>
      <c r="K65" t="s">
        <v>83</v>
      </c>
    </row>
    <row r="66" spans="1:11" x14ac:dyDescent="0.25">
      <c r="A66" t="s">
        <v>960</v>
      </c>
      <c r="B66" s="6" t="s">
        <v>961</v>
      </c>
      <c r="C66" t="s">
        <v>788</v>
      </c>
      <c r="D66" t="s">
        <v>398</v>
      </c>
      <c r="E66" t="s">
        <v>37</v>
      </c>
      <c r="F66" t="s">
        <v>38</v>
      </c>
      <c r="J66" t="s">
        <v>6</v>
      </c>
      <c r="K66" t="s">
        <v>399</v>
      </c>
    </row>
    <row r="67" spans="1:11" x14ac:dyDescent="0.25">
      <c r="A67" t="s">
        <v>962</v>
      </c>
      <c r="B67" s="6" t="s">
        <v>963</v>
      </c>
      <c r="C67" t="s">
        <v>964</v>
      </c>
      <c r="D67" t="s">
        <v>62</v>
      </c>
      <c r="E67" t="s">
        <v>136</v>
      </c>
      <c r="F67" t="s">
        <v>40</v>
      </c>
      <c r="G67">
        <v>40000</v>
      </c>
      <c r="H67">
        <v>55000</v>
      </c>
      <c r="I67">
        <v>47500</v>
      </c>
      <c r="J67" t="s">
        <v>4</v>
      </c>
      <c r="K67" t="s">
        <v>64</v>
      </c>
    </row>
    <row r="68" spans="1:11" x14ac:dyDescent="0.25">
      <c r="A68" t="s">
        <v>965</v>
      </c>
      <c r="B68" s="6" t="s">
        <v>966</v>
      </c>
      <c r="C68" t="s">
        <v>788</v>
      </c>
      <c r="D68" t="s">
        <v>398</v>
      </c>
      <c r="E68" t="s">
        <v>37</v>
      </c>
      <c r="F68" t="s">
        <v>38</v>
      </c>
      <c r="J68" t="s">
        <v>6</v>
      </c>
      <c r="K68" t="s">
        <v>399</v>
      </c>
    </row>
    <row r="69" spans="1:11" x14ac:dyDescent="0.25">
      <c r="A69" t="s">
        <v>967</v>
      </c>
      <c r="B69" s="6" t="s">
        <v>968</v>
      </c>
      <c r="C69" t="s">
        <v>969</v>
      </c>
      <c r="D69" t="s">
        <v>68</v>
      </c>
      <c r="E69" t="s">
        <v>970</v>
      </c>
      <c r="F69" t="s">
        <v>40</v>
      </c>
      <c r="G69">
        <v>39400</v>
      </c>
      <c r="H69">
        <v>46400</v>
      </c>
      <c r="I69">
        <v>42900</v>
      </c>
      <c r="J69" t="s">
        <v>4</v>
      </c>
      <c r="K69" t="s">
        <v>69</v>
      </c>
    </row>
    <row r="70" spans="1:11" x14ac:dyDescent="0.25">
      <c r="A70" t="s">
        <v>971</v>
      </c>
      <c r="B70" s="6" t="s">
        <v>972</v>
      </c>
      <c r="C70" t="s">
        <v>973</v>
      </c>
      <c r="D70" t="s">
        <v>62</v>
      </c>
      <c r="E70" t="s">
        <v>37</v>
      </c>
      <c r="F70" t="s">
        <v>38</v>
      </c>
      <c r="J70" t="s">
        <v>4</v>
      </c>
      <c r="K70" t="s">
        <v>64</v>
      </c>
    </row>
    <row r="71" spans="1:11" x14ac:dyDescent="0.25">
      <c r="A71" t="s">
        <v>974</v>
      </c>
      <c r="B71" s="6" t="s">
        <v>975</v>
      </c>
      <c r="C71" t="s">
        <v>976</v>
      </c>
      <c r="D71" t="s">
        <v>52</v>
      </c>
      <c r="E71" t="s">
        <v>37</v>
      </c>
      <c r="F71" t="s">
        <v>38</v>
      </c>
      <c r="J71" t="s">
        <v>6</v>
      </c>
      <c r="K71" t="s">
        <v>53</v>
      </c>
    </row>
    <row r="72" spans="1:11" x14ac:dyDescent="0.25">
      <c r="A72" t="s">
        <v>977</v>
      </c>
      <c r="B72" s="6" t="s">
        <v>978</v>
      </c>
      <c r="C72" t="s">
        <v>979</v>
      </c>
      <c r="D72" t="s">
        <v>82</v>
      </c>
      <c r="E72" t="s">
        <v>980</v>
      </c>
      <c r="F72" t="s">
        <v>40</v>
      </c>
      <c r="G72">
        <v>34000</v>
      </c>
      <c r="H72">
        <v>43000</v>
      </c>
      <c r="I72">
        <v>38500</v>
      </c>
      <c r="J72" t="s">
        <v>4</v>
      </c>
      <c r="K72" t="s">
        <v>83</v>
      </c>
    </row>
    <row r="73" spans="1:11" x14ac:dyDescent="0.25">
      <c r="A73" t="s">
        <v>981</v>
      </c>
      <c r="B73" s="6" t="s">
        <v>982</v>
      </c>
      <c r="C73" t="s">
        <v>983</v>
      </c>
      <c r="D73" t="s">
        <v>55</v>
      </c>
      <c r="E73" t="s">
        <v>984</v>
      </c>
      <c r="F73" t="s">
        <v>40</v>
      </c>
      <c r="G73">
        <v>52000</v>
      </c>
      <c r="H73">
        <v>52000</v>
      </c>
      <c r="I73">
        <v>52000</v>
      </c>
      <c r="J73" t="s">
        <v>4</v>
      </c>
      <c r="K73" t="s">
        <v>56</v>
      </c>
    </row>
    <row r="74" spans="1:11" x14ac:dyDescent="0.25">
      <c r="A74" t="s">
        <v>985</v>
      </c>
      <c r="B74" s="6" t="s">
        <v>986</v>
      </c>
      <c r="C74" t="s">
        <v>987</v>
      </c>
      <c r="D74" t="s">
        <v>181</v>
      </c>
      <c r="E74" t="s">
        <v>820</v>
      </c>
      <c r="F74" t="s">
        <v>40</v>
      </c>
      <c r="G74">
        <v>50000</v>
      </c>
      <c r="H74">
        <v>60000</v>
      </c>
      <c r="I74">
        <v>55000</v>
      </c>
      <c r="J74" t="s">
        <v>6</v>
      </c>
      <c r="K74" t="s">
        <v>182</v>
      </c>
    </row>
    <row r="75" spans="1:11" x14ac:dyDescent="0.25">
      <c r="A75" t="s">
        <v>988</v>
      </c>
      <c r="B75" s="6" t="s">
        <v>989</v>
      </c>
      <c r="C75" t="s">
        <v>990</v>
      </c>
      <c r="D75" t="s">
        <v>68</v>
      </c>
      <c r="E75" t="s">
        <v>991</v>
      </c>
      <c r="F75" t="s">
        <v>40</v>
      </c>
      <c r="G75">
        <v>75000</v>
      </c>
      <c r="H75">
        <v>75000</v>
      </c>
      <c r="I75">
        <v>75000</v>
      </c>
      <c r="J75" t="s">
        <v>4</v>
      </c>
      <c r="K75" t="s">
        <v>69</v>
      </c>
    </row>
    <row r="76" spans="1:11" x14ac:dyDescent="0.25">
      <c r="A76" t="s">
        <v>992</v>
      </c>
      <c r="B76" s="6" t="s">
        <v>993</v>
      </c>
      <c r="C76" t="s">
        <v>994</v>
      </c>
      <c r="D76" t="s">
        <v>55</v>
      </c>
      <c r="E76" t="s">
        <v>260</v>
      </c>
      <c r="F76" t="s">
        <v>40</v>
      </c>
      <c r="G76">
        <v>40000</v>
      </c>
      <c r="H76">
        <v>50000</v>
      </c>
      <c r="I76">
        <v>45000</v>
      </c>
      <c r="J76" t="s">
        <v>4</v>
      </c>
      <c r="K76" t="s">
        <v>56</v>
      </c>
    </row>
    <row r="77" spans="1:11" x14ac:dyDescent="0.25">
      <c r="A77" t="s">
        <v>995</v>
      </c>
      <c r="B77" s="6" t="s">
        <v>996</v>
      </c>
      <c r="C77" t="s">
        <v>997</v>
      </c>
      <c r="D77" t="s">
        <v>70</v>
      </c>
      <c r="E77" t="s">
        <v>37</v>
      </c>
      <c r="F77" t="s">
        <v>38</v>
      </c>
      <c r="J77" t="s">
        <v>6</v>
      </c>
      <c r="K77" t="s">
        <v>71</v>
      </c>
    </row>
    <row r="78" spans="1:11" x14ac:dyDescent="0.25">
      <c r="A78" t="s">
        <v>998</v>
      </c>
      <c r="B78" s="6" t="s">
        <v>999</v>
      </c>
      <c r="C78" t="s">
        <v>771</v>
      </c>
      <c r="D78" t="s">
        <v>324</v>
      </c>
      <c r="E78" t="s">
        <v>37</v>
      </c>
      <c r="F78" t="s">
        <v>38</v>
      </c>
      <c r="J78" t="s">
        <v>6</v>
      </c>
      <c r="K78" t="s">
        <v>325</v>
      </c>
    </row>
    <row r="79" spans="1:11" x14ac:dyDescent="0.25">
      <c r="A79" t="s">
        <v>1000</v>
      </c>
      <c r="B79" s="6" t="s">
        <v>1001</v>
      </c>
      <c r="C79" t="s">
        <v>1002</v>
      </c>
      <c r="D79" t="s">
        <v>315</v>
      </c>
      <c r="E79" t="s">
        <v>272</v>
      </c>
      <c r="F79" t="s">
        <v>40</v>
      </c>
      <c r="G79">
        <v>45000</v>
      </c>
      <c r="H79">
        <v>60000</v>
      </c>
      <c r="I79">
        <v>52500</v>
      </c>
      <c r="J79" t="s">
        <v>4</v>
      </c>
      <c r="K79" t="s">
        <v>316</v>
      </c>
    </row>
    <row r="80" spans="1:11" x14ac:dyDescent="0.25">
      <c r="A80" t="s">
        <v>1003</v>
      </c>
      <c r="B80" s="6" t="s">
        <v>1004</v>
      </c>
      <c r="C80" t="s">
        <v>1005</v>
      </c>
      <c r="D80" t="s">
        <v>50</v>
      </c>
      <c r="E80" t="s">
        <v>1006</v>
      </c>
      <c r="F80" t="s">
        <v>40</v>
      </c>
      <c r="G80">
        <v>35000</v>
      </c>
      <c r="H80">
        <v>36000</v>
      </c>
      <c r="I80">
        <v>35500</v>
      </c>
      <c r="J80" t="s">
        <v>4</v>
      </c>
      <c r="K80" t="s">
        <v>51</v>
      </c>
    </row>
    <row r="81" spans="1:11" x14ac:dyDescent="0.25">
      <c r="A81" t="s">
        <v>1007</v>
      </c>
      <c r="B81" s="6" t="s">
        <v>1008</v>
      </c>
      <c r="C81" t="s">
        <v>1009</v>
      </c>
      <c r="D81" t="s">
        <v>50</v>
      </c>
      <c r="E81" t="s">
        <v>37</v>
      </c>
      <c r="F81" t="s">
        <v>38</v>
      </c>
      <c r="J81" t="s">
        <v>4</v>
      </c>
      <c r="K81" t="s">
        <v>51</v>
      </c>
    </row>
    <row r="82" spans="1:11" x14ac:dyDescent="0.25">
      <c r="A82" t="s">
        <v>1010</v>
      </c>
      <c r="B82" s="6" t="s">
        <v>1011</v>
      </c>
      <c r="C82" t="s">
        <v>874</v>
      </c>
      <c r="D82" t="s">
        <v>256</v>
      </c>
      <c r="E82" t="s">
        <v>1012</v>
      </c>
      <c r="F82" t="s">
        <v>40</v>
      </c>
      <c r="G82">
        <v>55000</v>
      </c>
      <c r="H82">
        <v>65000</v>
      </c>
      <c r="I82">
        <v>60000</v>
      </c>
      <c r="J82" t="s">
        <v>4</v>
      </c>
      <c r="K82" t="s">
        <v>257</v>
      </c>
    </row>
    <row r="83" spans="1:11" x14ac:dyDescent="0.25">
      <c r="A83" t="s">
        <v>1013</v>
      </c>
      <c r="B83" s="6" t="s">
        <v>1014</v>
      </c>
      <c r="C83" t="s">
        <v>771</v>
      </c>
      <c r="D83" t="s">
        <v>324</v>
      </c>
      <c r="E83" t="s">
        <v>37</v>
      </c>
      <c r="F83" t="s">
        <v>38</v>
      </c>
      <c r="J83" t="s">
        <v>6</v>
      </c>
      <c r="K83" t="s">
        <v>325</v>
      </c>
    </row>
    <row r="84" spans="1:11" x14ac:dyDescent="0.25">
      <c r="A84" t="s">
        <v>1015</v>
      </c>
      <c r="B84" s="6" t="s">
        <v>1016</v>
      </c>
      <c r="C84" t="s">
        <v>1017</v>
      </c>
      <c r="D84" t="s">
        <v>82</v>
      </c>
      <c r="E84" t="s">
        <v>1018</v>
      </c>
      <c r="F84" t="s">
        <v>40</v>
      </c>
      <c r="G84">
        <v>55000</v>
      </c>
      <c r="H84">
        <v>75000</v>
      </c>
      <c r="I84">
        <v>65000</v>
      </c>
      <c r="J84" t="s">
        <v>4</v>
      </c>
      <c r="K84" t="s">
        <v>83</v>
      </c>
    </row>
    <row r="85" spans="1:11" x14ac:dyDescent="0.25">
      <c r="A85" t="s">
        <v>1019</v>
      </c>
      <c r="B85" s="6" t="s">
        <v>1020</v>
      </c>
      <c r="C85" t="s">
        <v>1021</v>
      </c>
      <c r="D85" t="s">
        <v>43</v>
      </c>
      <c r="E85" t="s">
        <v>37</v>
      </c>
      <c r="F85" t="s">
        <v>38</v>
      </c>
      <c r="J85" t="s">
        <v>4</v>
      </c>
      <c r="K85" t="s">
        <v>46</v>
      </c>
    </row>
    <row r="86" spans="1:11" x14ac:dyDescent="0.25">
      <c r="A86" t="s">
        <v>1022</v>
      </c>
      <c r="B86" s="6" t="s">
        <v>1023</v>
      </c>
      <c r="C86" t="s">
        <v>1024</v>
      </c>
      <c r="D86" t="s">
        <v>68</v>
      </c>
      <c r="E86" t="s">
        <v>1025</v>
      </c>
      <c r="F86" t="s">
        <v>40</v>
      </c>
      <c r="G86">
        <v>50000</v>
      </c>
      <c r="H86">
        <v>80000</v>
      </c>
      <c r="I86">
        <v>65000</v>
      </c>
      <c r="J86" t="s">
        <v>4</v>
      </c>
      <c r="K86" t="s">
        <v>69</v>
      </c>
    </row>
    <row r="87" spans="1:11" x14ac:dyDescent="0.25">
      <c r="A87" t="s">
        <v>1026</v>
      </c>
      <c r="B87" s="6" t="s">
        <v>1027</v>
      </c>
      <c r="C87" t="s">
        <v>1009</v>
      </c>
      <c r="D87" t="s">
        <v>62</v>
      </c>
      <c r="E87" t="s">
        <v>37</v>
      </c>
      <c r="F87" t="s">
        <v>38</v>
      </c>
      <c r="J87" t="s">
        <v>4</v>
      </c>
      <c r="K87" t="s">
        <v>64</v>
      </c>
    </row>
    <row r="88" spans="1:11" x14ac:dyDescent="0.25">
      <c r="A88" t="s">
        <v>1028</v>
      </c>
      <c r="B88" s="6" t="s">
        <v>1029</v>
      </c>
      <c r="C88" t="s">
        <v>1030</v>
      </c>
      <c r="D88" t="s">
        <v>48</v>
      </c>
      <c r="E88" t="s">
        <v>37</v>
      </c>
      <c r="F88" t="s">
        <v>38</v>
      </c>
      <c r="J88" t="s">
        <v>6</v>
      </c>
      <c r="K88" t="s">
        <v>49</v>
      </c>
    </row>
    <row r="89" spans="1:11" x14ac:dyDescent="0.25">
      <c r="A89" t="s">
        <v>1031</v>
      </c>
      <c r="B89" s="6" t="s">
        <v>1032</v>
      </c>
      <c r="C89" t="s">
        <v>1033</v>
      </c>
      <c r="D89" t="s">
        <v>82</v>
      </c>
      <c r="E89" t="s">
        <v>773</v>
      </c>
      <c r="F89" t="s">
        <v>40</v>
      </c>
      <c r="G89">
        <v>60000</v>
      </c>
      <c r="H89">
        <v>100000</v>
      </c>
      <c r="I89">
        <v>80000</v>
      </c>
      <c r="J89" t="s">
        <v>4</v>
      </c>
      <c r="K89" t="s">
        <v>83</v>
      </c>
    </row>
    <row r="90" spans="1:11" x14ac:dyDescent="0.25">
      <c r="A90" t="s">
        <v>1034</v>
      </c>
      <c r="B90" s="6" t="s">
        <v>1035</v>
      </c>
      <c r="C90" t="s">
        <v>1036</v>
      </c>
      <c r="D90" t="s">
        <v>55</v>
      </c>
      <c r="E90" t="s">
        <v>37</v>
      </c>
      <c r="F90" t="s">
        <v>38</v>
      </c>
      <c r="J90" t="s">
        <v>4</v>
      </c>
      <c r="K90" t="s">
        <v>56</v>
      </c>
    </row>
    <row r="91" spans="1:11" x14ac:dyDescent="0.25">
      <c r="A91" t="s">
        <v>1037</v>
      </c>
      <c r="B91" s="6" t="s">
        <v>1038</v>
      </c>
      <c r="C91" t="s">
        <v>1039</v>
      </c>
      <c r="D91" t="s">
        <v>82</v>
      </c>
      <c r="E91" t="s">
        <v>531</v>
      </c>
      <c r="F91" t="s">
        <v>40</v>
      </c>
      <c r="G91">
        <v>48000</v>
      </c>
      <c r="H91">
        <v>48000</v>
      </c>
      <c r="I91">
        <v>48000</v>
      </c>
      <c r="J91" t="s">
        <v>4</v>
      </c>
      <c r="K91" t="s">
        <v>83</v>
      </c>
    </row>
    <row r="92" spans="1:11" x14ac:dyDescent="0.25">
      <c r="A92" t="s">
        <v>1040</v>
      </c>
      <c r="B92" s="6" t="s">
        <v>1041</v>
      </c>
      <c r="C92" t="s">
        <v>1042</v>
      </c>
      <c r="D92" t="s">
        <v>82</v>
      </c>
      <c r="E92" t="s">
        <v>1043</v>
      </c>
      <c r="F92" t="s">
        <v>40</v>
      </c>
      <c r="G92">
        <v>48000</v>
      </c>
      <c r="H92">
        <v>60000</v>
      </c>
      <c r="I92">
        <v>54000</v>
      </c>
      <c r="J92" t="s">
        <v>4</v>
      </c>
      <c r="K92" t="s">
        <v>83</v>
      </c>
    </row>
    <row r="93" spans="1:11" x14ac:dyDescent="0.25">
      <c r="A93" t="s">
        <v>1044</v>
      </c>
      <c r="B93" s="6" t="s">
        <v>1045</v>
      </c>
      <c r="C93" t="s">
        <v>1009</v>
      </c>
      <c r="D93" t="s">
        <v>50</v>
      </c>
      <c r="E93" t="s">
        <v>37</v>
      </c>
      <c r="F93" t="s">
        <v>38</v>
      </c>
      <c r="J93" t="s">
        <v>4</v>
      </c>
      <c r="K93" t="s">
        <v>51</v>
      </c>
    </row>
    <row r="94" spans="1:11" x14ac:dyDescent="0.25">
      <c r="A94" t="s">
        <v>1046</v>
      </c>
      <c r="B94" s="6" t="s">
        <v>1047</v>
      </c>
      <c r="C94" t="s">
        <v>589</v>
      </c>
      <c r="D94" t="s">
        <v>154</v>
      </c>
      <c r="E94" t="s">
        <v>37</v>
      </c>
      <c r="F94" t="s">
        <v>38</v>
      </c>
      <c r="J94" t="s">
        <v>6</v>
      </c>
      <c r="K94" t="s">
        <v>155</v>
      </c>
    </row>
    <row r="95" spans="1:11" x14ac:dyDescent="0.25">
      <c r="A95" t="s">
        <v>1048</v>
      </c>
      <c r="B95" s="6" t="s">
        <v>1049</v>
      </c>
      <c r="C95" t="s">
        <v>1050</v>
      </c>
      <c r="D95" t="s">
        <v>70</v>
      </c>
      <c r="E95" t="s">
        <v>37</v>
      </c>
      <c r="F95" t="s">
        <v>38</v>
      </c>
      <c r="J95" t="s">
        <v>6</v>
      </c>
      <c r="K95" t="s">
        <v>71</v>
      </c>
    </row>
    <row r="96" spans="1:11" x14ac:dyDescent="0.25">
      <c r="A96" t="s">
        <v>1051</v>
      </c>
      <c r="B96" s="6" t="s">
        <v>1052</v>
      </c>
      <c r="C96" t="s">
        <v>964</v>
      </c>
      <c r="D96" t="s">
        <v>82</v>
      </c>
      <c r="E96" t="s">
        <v>136</v>
      </c>
      <c r="F96" t="s">
        <v>40</v>
      </c>
      <c r="G96">
        <v>40000</v>
      </c>
      <c r="H96">
        <v>55000</v>
      </c>
      <c r="I96">
        <v>47500</v>
      </c>
      <c r="J96" t="s">
        <v>4</v>
      </c>
      <c r="K96" t="s">
        <v>83</v>
      </c>
    </row>
    <row r="97" spans="1:11" x14ac:dyDescent="0.25">
      <c r="A97" t="s">
        <v>1053</v>
      </c>
      <c r="B97" s="6" t="s">
        <v>1054</v>
      </c>
      <c r="C97" t="s">
        <v>1055</v>
      </c>
      <c r="D97" t="s">
        <v>82</v>
      </c>
      <c r="E97" t="s">
        <v>1056</v>
      </c>
      <c r="F97" t="s">
        <v>40</v>
      </c>
      <c r="G97">
        <v>42000</v>
      </c>
      <c r="H97">
        <v>42000</v>
      </c>
      <c r="I97">
        <v>42000</v>
      </c>
      <c r="J97" t="s">
        <v>4</v>
      </c>
      <c r="K97" t="s">
        <v>83</v>
      </c>
    </row>
    <row r="98" spans="1:11" x14ac:dyDescent="0.25">
      <c r="A98" t="s">
        <v>1057</v>
      </c>
      <c r="B98" s="6" t="s">
        <v>1058</v>
      </c>
      <c r="C98" t="s">
        <v>1059</v>
      </c>
      <c r="D98" t="s">
        <v>68</v>
      </c>
      <c r="E98" t="s">
        <v>37</v>
      </c>
      <c r="F98" t="s">
        <v>38</v>
      </c>
      <c r="J98" t="s">
        <v>4</v>
      </c>
      <c r="K98" t="s">
        <v>69</v>
      </c>
    </row>
    <row r="99" spans="1:11" x14ac:dyDescent="0.25">
      <c r="A99" t="s">
        <v>1060</v>
      </c>
      <c r="B99" s="6" t="s">
        <v>1061</v>
      </c>
      <c r="C99" t="s">
        <v>770</v>
      </c>
      <c r="D99" t="s">
        <v>52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6</v>
      </c>
      <c r="K99" t="s">
        <v>53</v>
      </c>
    </row>
    <row r="100" spans="1:11" x14ac:dyDescent="0.25">
      <c r="A100" t="s">
        <v>1062</v>
      </c>
      <c r="B100" s="6" t="s">
        <v>1063</v>
      </c>
      <c r="C100" t="s">
        <v>997</v>
      </c>
      <c r="D100" t="s">
        <v>70</v>
      </c>
      <c r="E100" t="s">
        <v>37</v>
      </c>
      <c r="F100" t="s">
        <v>38</v>
      </c>
      <c r="J100" t="s">
        <v>6</v>
      </c>
      <c r="K100" t="s">
        <v>71</v>
      </c>
    </row>
    <row r="101" spans="1:11" x14ac:dyDescent="0.25">
      <c r="A101" t="s">
        <v>1064</v>
      </c>
      <c r="B101" s="6" t="s">
        <v>1065</v>
      </c>
      <c r="C101" t="s">
        <v>1066</v>
      </c>
      <c r="D101" t="s">
        <v>68</v>
      </c>
      <c r="E101" t="s">
        <v>203</v>
      </c>
      <c r="F101" t="s">
        <v>40</v>
      </c>
      <c r="G101">
        <v>50000</v>
      </c>
      <c r="H101">
        <v>50000</v>
      </c>
      <c r="I101">
        <v>50000</v>
      </c>
      <c r="J101" t="s">
        <v>4</v>
      </c>
      <c r="K101" t="s">
        <v>69</v>
      </c>
    </row>
  </sheetData>
  <sortState xmlns:xlrd2="http://schemas.microsoft.com/office/spreadsheetml/2017/richdata2" ref="A2:K111">
    <sortCondition descending="1" ref="I2:I11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workbookViewId="0">
      <selection activeCell="E28" sqref="E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717</v>
      </c>
      <c r="B1" s="23" t="s">
        <v>719</v>
      </c>
    </row>
    <row r="2" spans="1:8" x14ac:dyDescent="0.25">
      <c r="A2" t="s">
        <v>718</v>
      </c>
      <c r="B2" t="s">
        <v>720</v>
      </c>
    </row>
    <row r="3" spans="1:8" x14ac:dyDescent="0.25">
      <c r="D3" s="25" t="s">
        <v>721</v>
      </c>
      <c r="H3" s="24" t="s">
        <v>722</v>
      </c>
    </row>
    <row r="4" spans="1:8" x14ac:dyDescent="0.25">
      <c r="A4" s="9" t="s">
        <v>17</v>
      </c>
      <c r="B4" s="6"/>
      <c r="D4" t="s">
        <v>724</v>
      </c>
    </row>
    <row r="5" spans="1:8" ht="16.5" x14ac:dyDescent="0.25">
      <c r="A5" s="7" t="s">
        <v>23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19</v>
      </c>
      <c r="D6" s="8" t="s">
        <v>2</v>
      </c>
      <c r="E6" s="10" t="s">
        <v>20</v>
      </c>
    </row>
    <row r="7" spans="1:8" x14ac:dyDescent="0.25">
      <c r="A7" s="13" t="s">
        <v>723</v>
      </c>
      <c r="B7" s="14" t="s">
        <v>4</v>
      </c>
      <c r="C7" s="12" t="str">
        <f>_xlfn.IFNA(VLOOKUP(B7,index!A:B,2,FALSE),"")</f>
        <v>6001001000</v>
      </c>
      <c r="D7" s="15" t="s">
        <v>9</v>
      </c>
      <c r="E7" s="12" t="str">
        <f>_xlfn.IFNA(VLOOKUP(D7,index!C:D,2,FALSE),"")</f>
        <v>2009001001</v>
      </c>
    </row>
    <row r="8" spans="1:8" x14ac:dyDescent="0.25">
      <c r="A8" s="13"/>
      <c r="B8" s="14" t="s">
        <v>6</v>
      </c>
      <c r="C8" s="12" t="str">
        <f>_xlfn.IFNA(VLOOKUP(B8,index!A:B,2,FALSE),"")</f>
        <v>6001002000</v>
      </c>
      <c r="D8" s="15" t="s">
        <v>715</v>
      </c>
      <c r="E8" s="12" t="str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714</v>
      </c>
      <c r="E9" s="12" t="str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 t="str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 t="str">
        <f>_xlfn.IFNA(VLOOKUP(D11,index!C:D,2,FALSE),"")</f>
        <v>2009001004</v>
      </c>
    </row>
    <row r="12" spans="1:8" x14ac:dyDescent="0.25">
      <c r="A12" s="17" t="s">
        <v>723</v>
      </c>
      <c r="B12" s="18"/>
      <c r="C12" s="18" t="s">
        <v>21</v>
      </c>
      <c r="D12" s="19"/>
      <c r="E12" s="18" t="s">
        <v>716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J20" sqref="J20"/>
    </sheetView>
  </sheetViews>
  <sheetFormatPr defaultRowHeight="15.75" x14ac:dyDescent="0.25"/>
  <sheetData>
    <row r="1" spans="1:1" x14ac:dyDescent="0.25">
      <c r="A1" s="6" t="s">
        <v>757</v>
      </c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2025-05-12T15:53:48Z</dcterms:modified>
</cp:coreProperties>
</file>