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8F85680B-870B-46A4-9CDB-D8148788E99A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E11" i="8"/>
  <c r="C11" i="8"/>
  <c r="E10" i="8"/>
  <c r="C10" i="8"/>
  <c r="E9" i="8"/>
  <c r="C9" i="8"/>
  <c r="E8" i="8"/>
  <c r="C8" i="8"/>
  <c r="E7" i="8"/>
  <c r="C7" i="8"/>
  <c r="C7" i="1"/>
  <c r="C8" i="1"/>
  <c r="C9" i="1"/>
  <c r="C10" i="1"/>
  <c r="C6" i="1"/>
</calcChain>
</file>

<file path=xl/sharedStrings.xml><?xml version="1.0" encoding="utf-8"?>
<sst xmlns="http://schemas.openxmlformats.org/spreadsheetml/2006/main" count="2034" uniqueCount="869">
  <si>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</si>
  <si>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</si>
  <si>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</si>
  <si>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</si>
  <si>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</si>
  <si>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</si>
  <si>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</si>
  <si>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</si>
  <si>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</si>
  <si>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</si>
  <si>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</si>
  <si>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</si>
  <si>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</si>
  <si>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</si>
  <si>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</si>
  <si>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</si>
  <si>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</si>
  <si>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</si>
  <si>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</si>
  <si>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</si>
  <si>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</si>
  <si>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</si>
  <si>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</si>
  <si>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</si>
  <si>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</si>
  <si>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</si>
  <si>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</si>
  <si>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</si>
  <si>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</si>
  <si>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</si>
  <si>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</si>
  <si>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</si>
  <si>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</si>
  <si>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</si>
  <si>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</si>
  <si>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</si>
  <si>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</si>
  <si>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</si>
  <si>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</si>
  <si>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</si>
  <si>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</si>
  <si>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</si>
  <si>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</si>
  <si>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</si>
  <si>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</si>
  <si>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</si>
  <si>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</si>
  <si>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</si>
  <si>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</si>
  <si>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</si>
  <si>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</si>
  <si>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</si>
  <si>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</si>
  <si>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</si>
  <si>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</si>
  <si>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</si>
  <si>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</si>
  <si>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</si>
  <si>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</si>
  <si>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</si>
  <si>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</si>
  <si>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</si>
  <si>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</si>
  <si>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</si>
  <si>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</si>
  <si>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</si>
  <si>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</si>
  <si>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</si>
  <si>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</si>
  <si>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</si>
  <si>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</si>
  <si>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</si>
  <si>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</si>
  <si>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</si>
  <si>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</si>
  <si>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</si>
  <si>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</si>
  <si>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</si>
  <si>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</si>
  <si>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</si>
  <si>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</si>
  <si>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</si>
  <si>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</si>
  <si>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</si>
  <si>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</si>
  <si>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</si>
  <si>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</si>
  <si>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</si>
  <si>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</si>
  <si>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</si>
  <si>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</si>
  <si>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</si>
  <si>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</si>
  <si>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</si>
  <si>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</si>
  <si>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</si>
  <si>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</si>
  <si>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</si>
  <si>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</si>
  <si>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</si>
  <si>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</si>
  <si>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</si>
  <si>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</si>
  <si>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</si>
  <si>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</si>
  <si>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</si>
  <si>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</si>
  <si>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</si>
  <si>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</si>
  <si>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</si>
  <si>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</si>
  <si>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</si>
  <si>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</si>
  <si>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</si>
  <si>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</si>
  <si>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</si>
  <si>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</si>
  <si>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</si>
  <si>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</si>
  <si>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</si>
  <si>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</si>
  <si>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</si>
  <si>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</si>
  <si>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</si>
  <si>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</si>
  <si>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</si>
  <si>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</si>
  <si>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</si>
  <si>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</si>
  <si>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</si>
  <si>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</si>
  <si>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</si>
  <si>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</si>
  <si>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</si>
  <si>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</si>
  <si>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</si>
  <si>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</si>
  <si>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</si>
  <si>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</si>
  <si>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</si>
  <si>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</si>
  <si>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</si>
  <si>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</si>
  <si>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</si>
  <si>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</si>
  <si>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</si>
  <si>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</si>
  <si>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</si>
  <si>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</si>
  <si>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</si>
  <si>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</si>
  <si>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</si>
  <si>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</si>
  <si>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</si>
  <si>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</si>
  <si>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</si>
  <si>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</si>
  <si>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</si>
  <si>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</si>
  <si>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</si>
  <si>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</si>
  <si>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</si>
  <si>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</si>
  <si>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</si>
  <si>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</si>
  <si>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</si>
  <si>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</si>
  <si>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</si>
  <si>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</si>
  <si>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</si>
  <si>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</si>
  <si>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</si>
  <si>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</si>
  <si>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</si>
  <si>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</si>
  <si>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</si>
  <si>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</si>
  <si>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</si>
  <si>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</si>
  <si>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</si>
  <si>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</si>
  <si>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</si>
  <si>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</si>
  <si>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</si>
  <si>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</si>
  <si>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</si>
  <si>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</si>
  <si>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</si>
  <si>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</si>
  <si>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</si>
  <si>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</si>
  <si>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</si>
  <si>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</si>
  <si>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</si>
  <si>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</si>
  <si>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</si>
  <si>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</si>
  <si>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</si>
  <si>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</si>
  <si>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</si>
  <si>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</si>
  <si>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</si>
  <si>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</si>
  <si>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</si>
  <si>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</si>
  <si>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</si>
  <si>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</si>
  <si>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</si>
  <si>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</si>
  <si>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</si>
  <si>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</si>
  <si>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</si>
  <si>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</si>
  <si>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</si>
  <si>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</si>
  <si>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</si>
  <si>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</si>
  <si>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</si>
  <si>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</si>
  <si>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</si>
  <si>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</si>
  <si>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</si>
  <si>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</si>
  <si>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</si>
  <si>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</si>
  <si>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</si>
  <si>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</si>
  <si>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</si>
  <si>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</si>
  <si>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</si>
  <si>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</si>
  <si>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</si>
  <si>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</si>
  <si>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</si>
  <si>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</si>
  <si>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</si>
  <si>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</si>
  <si>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</si>
  <si>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</si>
  <si>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</si>
  <si>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</si>
  <si>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</si>
  <si>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</si>
  <si>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</si>
  <si>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</si>
  <si>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</si>
  <si>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</si>
  <si>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</si>
  <si>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</si>
  <si>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</si>
  <si>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</si>
  <si>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</si>
  <si>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</si>
  <si>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</si>
  <si>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</si>
  <si>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</si>
  <si>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</si>
  <si>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</si>
  <si>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</si>
  <si>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</si>
  <si>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</si>
  <si>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</si>
  <si>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</si>
  <si>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</si>
  <si>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</si>
  <si>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</si>
  <si>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</si>
  <si>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</si>
  <si>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</si>
  <si>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</si>
  <si>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</si>
  <si>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</si>
  <si>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</si>
  <si>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</si>
  <si>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</si>
  <si>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</si>
  <si>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</si>
  <si>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</si>
  <si>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</si>
  <si>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</si>
  <si>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</si>
  <si>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</si>
  <si>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</si>
  <si>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</si>
  <si>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</si>
  <si>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</si>
  <si>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</si>
  <si>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</si>
  <si>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</si>
  <si>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</si>
  <si>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</si>
  <si>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</si>
  <si>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</si>
  <si>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</si>
  <si>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</si>
  <si>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</si>
  <si>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</si>
  <si>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</si>
  <si>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</si>
  <si>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</si>
  <si>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</si>
  <si>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</si>
  <si>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</si>
  <si>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</si>
  <si>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</si>
  <si>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</si>
  <si>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</si>
  <si>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</si>
  <si>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</si>
  <si>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</si>
  <si>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</si>
  <si>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</si>
  <si>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</si>
  <si>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</si>
  <si>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</si>
  <si>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</si>
  <si>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</si>
  <si>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</si>
  <si>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</si>
  <si>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</si>
  <si>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</si>
  <si>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</si>
  <si>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</si>
  <si>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</si>
  <si>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</si>
  <si>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</si>
  <si>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</si>
  <si>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</si>
  <si>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</si>
  <si>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</si>
  <si>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</si>
  <si>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</si>
  <si>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</si>
  <si>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</si>
  <si>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</si>
  <si>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</si>
  <si>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</si>
  <si>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</si>
  <si>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</si>
  <si>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</si>
  <si>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</si>
  <si>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</si>
  <si>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</si>
  <si>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</si>
  <si>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</si>
  <si>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</si>
  <si>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</si>
  <si>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</si>
  <si>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</si>
  <si>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</si>
  <si>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</si>
  <si>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</si>
  <si>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</si>
  <si>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</si>
  <si>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</si>
  <si>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</si>
  <si>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</si>
  <si>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</si>
  <si>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</si>
  <si>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</si>
  <si>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</si>
  <si>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</si>
  <si>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</si>
  <si>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</si>
  <si>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</si>
  <si>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</si>
  <si>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</si>
  <si>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</si>
  <si>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</si>
  <si>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</si>
  <si>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</si>
  <si>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</si>
  <si>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</si>
  <si>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</si>
  <si>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</si>
  <si>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</si>
  <si>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</si>
  <si>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</si>
  <si>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</si>
  <si>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</si>
  <si>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</si>
  <si>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</si>
  <si>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</si>
  <si>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</si>
  <si>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</si>
  <si>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</si>
  <si>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</si>
  <si>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</si>
  <si>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</si>
  <si>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</si>
  <si>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</si>
  <si>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</si>
  <si>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</si>
  <si>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</si>
  <si>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</si>
  <si>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</si>
  <si>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</si>
  <si>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</si>
  <si>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</si>
  <si>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</si>
  <si>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</si>
  <si>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</si>
  <si>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</si>
  <si>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</si>
  <si>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</si>
  <si>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</si>
  <si>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</si>
  <si>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</si>
  <si>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</si>
  <si>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</si>
  <si>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</si>
  <si>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</si>
  <si>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</si>
  <si>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</si>
  <si>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</si>
  <si>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</si>
  <si>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</si>
  <si>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</si>
  <si>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</si>
  <si>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</si>
  <si>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</si>
  <si>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</si>
  <si>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</si>
  <si>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</si>
  <si>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</si>
  <si>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</si>
  <si>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</si>
  <si>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</si>
  <si>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</si>
  <si>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</si>
  <si>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</si>
  <si>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</si>
  <si>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</si>
  <si>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</si>
  <si>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</si>
  <si>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</si>
  <si>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</si>
  <si>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</si>
  <si>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</si>
  <si>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</si>
  <si>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</si>
  <si>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</si>
  <si>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</si>
  <si>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</si>
  <si>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</si>
  <si>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</si>
  <si>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</si>
  <si>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</si>
  <si>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</si>
  <si>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</si>
  <si>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</si>
  <si>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</si>
  <si>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</si>
  <si>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</si>
  <si>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</si>
  <si>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</si>
  <si>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</si>
  <si>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</si>
  <si>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</si>
  <si>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</si>
  <si>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</si>
  <si>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</si>
  <si>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</si>
  <si>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</si>
  <si>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</si>
  <si>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</si>
  <si>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</si>
  <si>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</si>
  <si>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</si>
  <si>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</si>
  <si>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</si>
  <si>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</si>
  <si>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</si>
  <si>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</si>
  <si>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</si>
  <si>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</si>
  <si>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</si>
  <si>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</si>
  <si>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</si>
  <si>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</si>
  <si>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</si>
  <si>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</si>
  <si>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</si>
  <si>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</si>
  <si>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</si>
  <si>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</si>
  <si>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</si>
  <si>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</si>
  <si>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</si>
  <si>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</si>
  <si>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</si>
  <si>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</si>
  <si>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</si>
  <si>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</si>
  <si>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</si>
  <si>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</si>
  <si>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</si>
  <si>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</si>
  <si>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</si>
  <si>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</si>
  <si>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</si>
  <si>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</si>
  <si>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</si>
  <si>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</si>
  <si>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</si>
  <si>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</si>
  <si>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</si>
  <si>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</si>
  <si>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</si>
  <si>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</si>
  <si>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</si>
  <si>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</si>
  <si>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</si>
  <si>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</si>
  <si>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</si>
  <si>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</si>
  <si>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</si>
  <si>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</si>
  <si>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</si>
  <si>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</si>
  <si>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</si>
  <si>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</si>
  <si>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</si>
  <si>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</si>
  <si>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</si>
  <si>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</si>
  <si>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</si>
  <si>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</si>
  <si>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</si>
  <si>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</si>
  <si>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</si>
  <si>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</si>
  <si>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</si>
  <si>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</si>
  <si>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</si>
  <si>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</si>
  <si>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</si>
  <si>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</si>
  <si>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</si>
  <si>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</si>
  <si>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</si>
  <si>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</si>
  <si>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</si>
  <si>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</si>
  <si>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</si>
  <si>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</si>
  <si>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</si>
  <si>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</si>
  <si>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</si>
  <si>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</si>
  <si>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</si>
  <si>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</si>
  <si>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</si>
  <si>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</si>
  <si>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</si>
  <si>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</si>
  <si>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</si>
  <si>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</si>
  <si>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</si>
  <si>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</si>
  <si>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</si>
  <si>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</si>
  <si>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</si>
  <si>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</si>
  <si>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</si>
  <si>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</si>
  <si>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</si>
  <si>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</si>
  <si>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</si>
  <si>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</si>
  <si>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</si>
  <si>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</si>
  <si>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</si>
  <si>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</si>
  <si>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</si>
  <si>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</si>
  <si>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</si>
  <si>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</si>
  <si>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</si>
  <si>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</si>
  <si>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</si>
  <si>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</si>
  <si>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</si>
  <si>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</si>
  <si>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</si>
  <si>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</si>
  <si>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</si>
  <si>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</si>
  <si>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</si>
  <si>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</si>
  <si>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</si>
  <si>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</si>
  <si>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</si>
  <si>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</si>
  <si>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</si>
  <si>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</si>
  <si>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</si>
  <si>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</si>
  <si>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</si>
  <si>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</si>
  <si>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</si>
  <si>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</si>
  <si>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</si>
  <si>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</si>
  <si>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</si>
  <si>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</si>
  <si>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</si>
  <si>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</si>
  <si>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</si>
  <si>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</si>
  <si>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</si>
  <si>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</si>
  <si>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</si>
  <si>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</si>
  <si>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</si>
  <si>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</si>
  <si>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</si>
  <si>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</si>
  <si>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</si>
  <si>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</si>
  <si>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</si>
  <si>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</si>
  <si>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</si>
  <si>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</si>
  <si>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</si>
  <si>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</si>
  <si>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</si>
  <si>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</si>
  <si>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</si>
  <si>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</si>
  <si>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</si>
  <si>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</si>
  <si>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</si>
  <si>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</si>
  <si>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</si>
  <si>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</si>
  <si>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</si>
  <si>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</si>
  <si>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</si>
  <si>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</si>
  <si>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</si>
  <si>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</si>
  <si>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</si>
  <si>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</si>
  <si>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</si>
  <si>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</si>
  <si>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</si>
  <si>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</si>
  <si>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</si>
  <si>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</si>
  <si>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</si>
  <si>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</si>
  <si>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</si>
  <si>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</si>
  <si>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</si>
  <si>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</si>
  <si>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</si>
  <si>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</si>
  <si>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</si>
  <si>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</si>
  <si>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</si>
  <si>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</si>
  <si>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</si>
  <si>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</si>
  <si>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</si>
  <si>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</si>
  <si>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</si>
  <si>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</si>
  <si>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</si>
  <si>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</si>
  <si>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</si>
  <si>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</si>
  <si>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</si>
  <si>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</si>
  <si>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</si>
  <si>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</si>
  <si>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</si>
  <si>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</si>
  <si>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</si>
  <si>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</si>
  <si>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</si>
  <si>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</si>
  <si>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</si>
  <si>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</si>
  <si>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</si>
  <si>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</si>
  <si>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</si>
  <si>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</si>
  <si>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</si>
  <si>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</si>
  <si>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</si>
  <si>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</si>
  <si>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</si>
  <si>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</si>
  <si>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</si>
  <si>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</si>
  <si>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</si>
  <si>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</si>
  <si>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</si>
  <si>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</si>
  <si>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</si>
  <si>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</si>
  <si>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</si>
  <si>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</si>
  <si>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</si>
  <si>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</si>
  <si>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</si>
  <si>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</si>
  <si>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</si>
  <si>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</si>
  <si>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</si>
  <si>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</si>
  <si>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</si>
  <si>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</si>
  <si>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</si>
  <si>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</si>
  <si>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</si>
  <si>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</si>
  <si>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</si>
  <si>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</si>
  <si>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</si>
  <si>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</si>
  <si>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</si>
  <si>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</si>
  <si>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</si>
  <si>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</si>
  <si>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</si>
  <si>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</si>
  <si>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</si>
  <si>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</si>
  <si>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</si>
  <si>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</si>
  <si>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</si>
  <si>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</si>
  <si>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</si>
  <si>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</si>
  <si>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</si>
  <si>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</si>
  <si>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</si>
  <si>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</si>
  <si>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</si>
  <si>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</si>
  <si>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</si>
  <si>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</si>
  <si>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</si>
  <si>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</si>
  <si>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</si>
  <si>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</si>
  <si>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</si>
  <si>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</si>
  <si>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</si>
  <si>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</si>
  <si>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</si>
  <si>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</si>
  <si>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2009000000</t>
    <phoneticPr fontId="1" type="noConversion"/>
  </si>
  <si>
    <t>生產製造／品管／環衛類</t>
  </si>
  <si>
    <t>全部頁面爬蟲完成</t>
  </si>
  <si>
    <t>新竹縣市</t>
  </si>
  <si>
    <t>6001006000</t>
  </si>
  <si>
    <t>門市營業類人員</t>
  </si>
  <si>
    <t>2005002000</t>
  </si>
  <si>
    <t>首頁 |  104  招募管理</t>
    <phoneticPr fontId="1" type="noConversion"/>
  </si>
  <si>
    <t>月薪38,000~43,000元</t>
  </si>
  <si>
    <t>柏萊特國際股份有限公司</t>
  </si>
  <si>
    <t>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</t>
    <phoneticPr fontId="1" type="noConversion"/>
  </si>
  <si>
    <t>西點技師</t>
    <phoneticPr fontId="1" type="noConversion"/>
  </si>
  <si>
    <t/>
  </si>
  <si>
    <t>最新找工作職缺－104人力銀行</t>
  </si>
  <si>
    <t>西點，甜點烘焙(新店)工廠二手技師</t>
  </si>
  <si>
    <t>https://www.104.com.tw/job/55c23?jobsource=joblist_search</t>
  </si>
  <si>
    <t>麵包，烘焙 (新店)中央工廠 二手技師</t>
  </si>
  <si>
    <t>https://www.104.com.tw/job/55c2a?jobsource=joblist_search</t>
  </si>
  <si>
    <t>［蛋糕二手］享勞/健保6%退休金</t>
  </si>
  <si>
    <t>https://www.104.com.tw/job/8mqwv?jobsource=joblist_search</t>
  </si>
  <si>
    <t>法歐米麵包工坊_祥和麵包工坊</t>
  </si>
  <si>
    <t>[好米亞國際餐飲有限公司]甜點廚師/主廚</t>
  </si>
  <si>
    <t>好米亞砂鍋雞湯餐館_好米亞國際餐飲有限公司</t>
  </si>
  <si>
    <t>MMB05 烘焙技師-無經驗可【含伙食全勤32,000元起】</t>
  </si>
  <si>
    <t>https://www.104.com.tw/job/5g5nm?jobsource=joblist_search</t>
  </si>
  <si>
    <t>亞尼克菓子工房股份有限公司</t>
  </si>
  <si>
    <t>月薪32,000元以上</t>
  </si>
  <si>
    <t>食品稽核人員(研究員)</t>
  </si>
  <si>
    <t>https://www.104.com.tw/job/8lbs0?jobsource=joblist_search</t>
  </si>
  <si>
    <t>財團法人中華穀類食品工業技術研究所</t>
  </si>
  <si>
    <t>食品稽核人員(副研究員或助理研究員)</t>
  </si>
  <si>
    <t>https://www.104.com.tw/job/88bwy?jobsource=joblist_search</t>
  </si>
  <si>
    <t>月薪37,500元以上</t>
  </si>
  <si>
    <t>【歐麗蛋糕坊】 烘培-伴手禮師傅</t>
  </si>
  <si>
    <t>https://www.104.com.tw/job/8je2f?jobsource=joblist_search</t>
  </si>
  <si>
    <t>歐華酒店_國正實業股份有限公司</t>
  </si>
  <si>
    <t>爵林堅果-生產正職人員</t>
  </si>
  <si>
    <t>https://www.104.com.tw/job/8nvqz?jobsource=joblist_search</t>
  </si>
  <si>
    <t>五裔有限公司</t>
  </si>
  <si>
    <t>月薪40,000~100,000元</t>
  </si>
  <si>
    <t>［蛋糕師傅］享勞/健保6%退休金</t>
  </si>
  <si>
    <t>https://www.104.com.tw/job/8peig?jobsource=joblist_search</t>
  </si>
  <si>
    <t>［蛋糕學徒］享勞/健保6%退休金</t>
  </si>
  <si>
    <t>https://www.104.com.tw/job/8bjvn?jobsource=joblist_search</t>
  </si>
  <si>
    <t>月薪28,590元以上</t>
  </si>
  <si>
    <t>［蛋糕三手］享勞/健保6%退休金</t>
  </si>
  <si>
    <t>https://www.104.com.tw/job/8mqwq?jobsource=joblist_search</t>
  </si>
  <si>
    <t>[辛亥] 物流送貨人員(穩定業績/達標獎金、供兩餐/讓你不怕餓肚子)</t>
  </si>
  <si>
    <t>https://www.104.com.tw/job/7baul?jobsource=joblist_search</t>
  </si>
  <si>
    <t>歐嬤德式美食_易德食食品有限公司</t>
  </si>
  <si>
    <t>[新店央廚]內場餐點製作人員(徵習慣早起的你、免費不淋雨的機車位、周休六日最棒了)</t>
  </si>
  <si>
    <t>https://www.104.com.tw/job/7xvxn?jobsource=joblist_search</t>
  </si>
  <si>
    <t>[內湖]儲備副店(學習速度快者一個月後立即調薪、業績達標*月月領獎金、優秀團隊*向心力超高)</t>
  </si>
  <si>
    <t>https://www.104.com.tw/job/8pvj2?jobsource=joblist_search</t>
  </si>
  <si>
    <t>[內湖]餐飲服務人員(業績達標*月月領獎金、優秀團隊*向心力超高)</t>
  </si>
  <si>
    <t>https://www.104.com.tw/job/7pjpa?jobsource=joblist_search</t>
  </si>
  <si>
    <t>月薪32,000~34,000元</t>
  </si>
  <si>
    <t>【歐嬤德式美食】_兼職物流送貨人員(1.9噸貨車，自排、手排) (計時人員200起,一到日排班+8:00-12:00/12:00-16:00)</t>
  </si>
  <si>
    <t>https://www.104.com.tw/job/80d4a?jobsource=joblist_search</t>
  </si>
  <si>
    <t>時薪200~250元</t>
  </si>
  <si>
    <t>時薪</t>
  </si>
  <si>
    <t>[板橋]食品銷售人員!!!擴大招募、全新櫃點 (業績獎金/開幕至今月月達標、產品多樣化豐富又齊全讓你賣不停)</t>
  </si>
  <si>
    <t>https://www.104.com.tw/job/6uzxr?jobsource=joblist_search</t>
  </si>
  <si>
    <t>月薪32,000~37,000元</t>
  </si>
  <si>
    <t>【評點制:僑生專區* 歐嬤德式美食_內湖店】_餐飲服務人員( 月休9-10天，每日供餐，近西湖捷運站)</t>
  </si>
  <si>
    <t>https://www.104.com.tw/job/8omxc?jobsource=joblist_search</t>
  </si>
  <si>
    <t>月薪32,000~36,000元</t>
  </si>
  <si>
    <t>【歐嬤德式美食_辛亥店】_(兼職)門市銷售人員</t>
  </si>
  <si>
    <t>https://www.104.com.tw/job/7jdl0?jobsource=joblist_search</t>
  </si>
  <si>
    <t>時薪190~200元</t>
  </si>
  <si>
    <t>【歐嬤德式美食_內湖店】_(兼職) 餐飲服務人員</t>
  </si>
  <si>
    <t>https://www.104.com.tw/job/76wkr?jobsource=joblist_search</t>
  </si>
  <si>
    <t>時薪190~220元</t>
  </si>
  <si>
    <t>【歐嬤德式烘焙_辛亥店】_(兼職)烘培三手</t>
  </si>
  <si>
    <t>https://www.104.com.tw/job/840vc?jobsource=joblist_search</t>
  </si>
  <si>
    <t>[辛亥] 麵包部一手、二手師傅 (穩定業績/達標獎金、德國技師/定期來台函授、最純正傳統德式麵包在歐嬤)</t>
  </si>
  <si>
    <t>https://www.104.com.tw/job/6hido?jobsource=joblist_search</t>
  </si>
  <si>
    <t>月薪38,000~52,000元</t>
  </si>
  <si>
    <t>【歐嬤德式美食_金華店】(兼職)_餐飲服務人員</t>
  </si>
  <si>
    <t>https://www.104.com.tw/job/6p0bk?jobsource=joblist_search</t>
  </si>
  <si>
    <t>[板橋]食品銷售人員: 儲備店長 (業績獎金/開幕至今月月達標、產品多樣化豐富又齊全讓你賣不停)</t>
  </si>
  <si>
    <t>https://www.104.com.tw/job/8iiig?jobsource=joblist_search</t>
  </si>
  <si>
    <t>月薪40,000~42,000元</t>
  </si>
  <si>
    <t>【歐嬤德式美食_復興店】 (兼職)專櫃銷售人員</t>
  </si>
  <si>
    <t>https://www.104.com.tw/job/6sd6q?jobsource=joblist_search</t>
  </si>
  <si>
    <t>時薪190元</t>
  </si>
  <si>
    <t>【歐嬤德式烘焙_辛亥店】_(兼職)烘培二手</t>
  </si>
  <si>
    <t>https://www.104.com.tw/job/87t7h?jobsource=joblist_search</t>
  </si>
  <si>
    <t>時薪200~220元</t>
  </si>
  <si>
    <t>【歐嬤德式美食_板橋遠百店】 (早班、晚班兼職)專櫃銷售人員</t>
  </si>
  <si>
    <t>https://www.104.com.tw/job/8gckv?jobsource=joblist_search</t>
  </si>
  <si>
    <t>【歐嬤德式美食_市政府】(兼職)外燴餐飲服務人員 (每周一~五 07:30~11:00，紅字休)</t>
  </si>
  <si>
    <t>https://www.104.com.tw/job/7bauz?jobsource=joblist_search</t>
  </si>
  <si>
    <t>[哥德] 西餐三廚(業績達標店王/讓你月月領獎金、豐富德式菜色/讓你學無止盡)</t>
  </si>
  <si>
    <t>https://www.104.com.tw/job/7hb3r?jobsource=joblist_search</t>
  </si>
  <si>
    <t>[哥德] 西餐二廚(業績達標店王/讓你月月領獎金、豐富德式菜色/讓你學無止盡)</t>
  </si>
  <si>
    <t>https://www.104.com.tw/job/8lwpq?jobsource=joblist_search</t>
  </si>
  <si>
    <t>西點製作技師﹝中央工廠－預計2025/06搬遷至汐止﹞</t>
  </si>
  <si>
    <t>https://www.104.com.tw/job/8kudh?jobsource=joblist_search</t>
  </si>
  <si>
    <t>哈肯舖股份有限公司</t>
  </si>
  <si>
    <t>月薪29,500~30,500元</t>
  </si>
  <si>
    <t>[辛亥] 麵包部三手(穩定業績/達標獎金、德國技師/定期來台函授、最純正傳統德式麵包在歐嬤)</t>
  </si>
  <si>
    <t>https://www.104.com.tw/job/7oqzd?jobsource=joblist_search</t>
  </si>
  <si>
    <t>月薪33,000~36,000元</t>
  </si>
  <si>
    <t>西點三手技師﹝中央工廠－預計2025/06搬遷至汐止﹞</t>
  </si>
  <si>
    <t>https://www.104.com.tw/job/8kudb?jobsource=joblist_search</t>
  </si>
  <si>
    <t>月薪30,500~31,000元</t>
  </si>
  <si>
    <t>【評點制:僑生專區*歐嬤德式美食_板橋大遠百- 百貨櫃位】_(正職)食品銷售人員</t>
  </si>
  <si>
    <t>https://www.104.com.tw/job/8omxh?jobsource=joblist_search</t>
  </si>
  <si>
    <t>【評點制:僑生專區*歐嬤德式烘焙_辛亥店】_麵包部二、三手(月休9-10天，供早、午餐)</t>
  </si>
  <si>
    <t>https://www.104.com.tw/job/8on13?jobsource=joblist_search</t>
  </si>
  <si>
    <t>西點二手技師﹝中央工廠－預計2025/06搬遷至汐止﹞</t>
  </si>
  <si>
    <t>https://www.104.com.tw/job/8kud2?jobsource=joblist_search</t>
  </si>
  <si>
    <t>月薪31,000~36,500元</t>
  </si>
  <si>
    <t>https://www.104.com.tw/job/8d8yu?jobsource=joblist_search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</si>
</sst>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  <xf numFmtId="0" fontId="2" fillId="0" borderId="0" xfId="1" applyNumberFormat="1" applyAlignment="1">
      <alignment wrapText="1"/>
    </xf>
    <xf numFmtId="0" fontId="2" fillId="0" borderId="0" xfId="1" applyAlignment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/8d8yu?jobsource=joblist_search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2"/>
  <sheetViews>
    <sheetView workbookViewId="0">
      <selection activeCell="H17" sqref="H17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32" t="s">
        <v>8</v>
      </c>
    </row>
    <row r="2" spans="1:4" x14ac:dyDescent="0.25">
      <c r="A2" s="2" t="s">
        <v>5</v>
      </c>
      <c r="B2" s="26" t="s">
        <v>724</v>
      </c>
      <c r="C2" s="20" t="s">
        <v>12</v>
      </c>
      <c r="D2" s="27" t="s">
        <v>725</v>
      </c>
    </row>
    <row r="3" spans="1:4" x14ac:dyDescent="0.25">
      <c r="A3" s="2" t="s">
        <v>7</v>
      </c>
      <c r="B3" s="26" t="s">
        <v>726</v>
      </c>
      <c r="C3" s="20" t="s">
        <v>9</v>
      </c>
      <c r="D3" s="27" t="s">
        <v>727</v>
      </c>
    </row>
    <row r="4" spans="1:4" x14ac:dyDescent="0.25">
      <c r="A4" s="2" t="s">
        <v>757</v>
      </c>
      <c r="B4" s="26" t="s">
        <v>758</v>
      </c>
      <c r="C4" s="20" t="s">
        <v>13</v>
      </c>
      <c r="D4" s="27" t="s">
        <v>728</v>
      </c>
    </row>
    <row r="5" spans="1:4" x14ac:dyDescent="0.25">
      <c r="A5" s="2"/>
      <c r="B5" s="26"/>
      <c r="C5" s="20" t="s">
        <v>16</v>
      </c>
      <c r="D5" s="27" t="s">
        <v>729</v>
      </c>
    </row>
    <row r="6" spans="1:4" x14ac:dyDescent="0.25">
      <c r="A6" s="2"/>
      <c r="B6" s="26"/>
      <c r="C6" s="20" t="s">
        <v>11</v>
      </c>
      <c r="D6" s="27" t="s">
        <v>730</v>
      </c>
    </row>
    <row r="7" spans="1:4" x14ac:dyDescent="0.25">
      <c r="A7" s="2"/>
      <c r="B7" s="26"/>
      <c r="C7" s="20" t="s">
        <v>15</v>
      </c>
      <c r="D7" s="27" t="s">
        <v>731</v>
      </c>
    </row>
    <row r="8" spans="1:4" x14ac:dyDescent="0.25">
      <c r="A8" s="2"/>
      <c r="B8" s="26"/>
      <c r="C8" s="20" t="s">
        <v>14</v>
      </c>
      <c r="D8" s="27" t="s">
        <v>732</v>
      </c>
    </row>
    <row r="9" spans="1:4" x14ac:dyDescent="0.25">
      <c r="A9" s="2"/>
      <c r="B9" s="26"/>
      <c r="C9" s="21" t="s">
        <v>47</v>
      </c>
      <c r="D9" s="28" t="s">
        <v>733</v>
      </c>
    </row>
    <row r="10" spans="1:4" x14ac:dyDescent="0.25">
      <c r="A10" s="2"/>
      <c r="B10" s="26"/>
      <c r="C10" s="21" t="s">
        <v>10</v>
      </c>
      <c r="D10" s="28" t="s">
        <v>734</v>
      </c>
    </row>
    <row r="11" spans="1:4" x14ac:dyDescent="0.25">
      <c r="A11" s="2"/>
      <c r="B11" s="26"/>
      <c r="C11" s="3" t="s">
        <v>18</v>
      </c>
      <c r="D11" s="29" t="s">
        <v>735</v>
      </c>
    </row>
    <row r="12" spans="1:4" x14ac:dyDescent="0.25">
      <c r="A12" s="2"/>
      <c r="B12" s="26"/>
      <c r="C12" s="30" t="s">
        <v>736</v>
      </c>
      <c r="D12" s="31" t="s">
        <v>737</v>
      </c>
    </row>
    <row r="13" spans="1:4" x14ac:dyDescent="0.25">
      <c r="A13" s="2"/>
      <c r="B13" s="26"/>
      <c r="C13" s="30" t="s">
        <v>738</v>
      </c>
      <c r="D13" s="31" t="s">
        <v>739</v>
      </c>
    </row>
    <row r="14" spans="1:4" x14ac:dyDescent="0.25">
      <c r="A14" s="2"/>
      <c r="B14" s="26"/>
      <c r="C14" s="30" t="s">
        <v>740</v>
      </c>
      <c r="D14" s="31" t="s">
        <v>741</v>
      </c>
    </row>
    <row r="15" spans="1:4" x14ac:dyDescent="0.25">
      <c r="A15" s="2"/>
      <c r="B15" s="26"/>
      <c r="C15" s="30" t="s">
        <v>742</v>
      </c>
      <c r="D15" s="31" t="s">
        <v>743</v>
      </c>
    </row>
    <row r="16" spans="1:4" x14ac:dyDescent="0.25">
      <c r="A16" s="2"/>
      <c r="B16" s="26"/>
      <c r="C16" s="30" t="s">
        <v>744</v>
      </c>
      <c r="D16" s="31" t="s">
        <v>745</v>
      </c>
    </row>
    <row r="17" spans="1:4" x14ac:dyDescent="0.25">
      <c r="A17" s="2"/>
      <c r="B17" s="26"/>
      <c r="C17" s="30" t="s">
        <v>746</v>
      </c>
      <c r="D17" s="31" t="s">
        <v>747</v>
      </c>
    </row>
    <row r="18" spans="1:4" x14ac:dyDescent="0.25">
      <c r="A18" s="2"/>
      <c r="B18" s="26"/>
      <c r="C18" s="30" t="s">
        <v>748</v>
      </c>
      <c r="D18" s="31" t="s">
        <v>749</v>
      </c>
    </row>
    <row r="19" spans="1:4" x14ac:dyDescent="0.25">
      <c r="A19" s="2"/>
      <c r="B19" s="26"/>
      <c r="C19" s="30" t="s">
        <v>750</v>
      </c>
      <c r="D19" s="31" t="s">
        <v>751</v>
      </c>
    </row>
    <row r="20" spans="1:4" x14ac:dyDescent="0.25">
      <c r="A20" s="2"/>
      <c r="B20" s="26"/>
      <c r="C20" s="30" t="s">
        <v>752</v>
      </c>
      <c r="D20" s="31" t="s">
        <v>753</v>
      </c>
    </row>
    <row r="21" spans="1:4" x14ac:dyDescent="0.25">
      <c r="C21" t="s">
        <v>755</v>
      </c>
      <c r="D21" s="16" t="s">
        <v>754</v>
      </c>
    </row>
    <row r="22" spans="1:4" x14ac:dyDescent="0.25">
      <c r="C22" t="s">
        <v>759</v>
      </c>
      <c r="D22" s="16" t="s">
        <v>760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1"/>
  <sheetViews>
    <sheetView workbookViewId="0">
      <selection activeCell="C28" sqref="C2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1" spans="1:5" x14ac:dyDescent="0.25">
      <c r="C1" t="s">
        <v>767</v>
      </c>
    </row>
    <row r="2" spans="1:5" x14ac:dyDescent="0.25">
      <c r="C2" t="s">
        <v>756</v>
      </c>
    </row>
    <row r="3" spans="1:5" x14ac:dyDescent="0.25">
      <c r="A3" s="9"/>
      <c r="B3" s="34"/>
      <c r="C3" s="33"/>
      <c r="E3" s="34"/>
    </row>
    <row r="4" spans="1:5" ht="16.5" x14ac:dyDescent="0.25">
      <c r="A4" s="7" t="s">
        <v>23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765</v>
      </c>
      <c r="B6" s="14" t="s">
        <v>4</v>
      </c>
      <c r="C6" s="12" t="str">
        <f>_xlfn.IFNA(VLOOKUP(B6,index!A:B,2,FALSE),"")</f>
        <v>6001001000</v>
      </c>
      <c r="D6" s="15"/>
      <c r="E6" s="12" t="str">
        <f>_xlfn.IFNA(VLOOKUP(D6,index!C:D,2,FALSE),"")</f>
        <v/>
      </c>
    </row>
    <row r="7" spans="1:5" x14ac:dyDescent="0.25">
      <c r="A7" s="13"/>
      <c r="B7" s="14" t="s">
        <v>6</v>
      </c>
      <c r="C7" s="12" t="str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765</v>
      </c>
      <c r="B11" s="18"/>
      <c r="C11" s="18" t="s">
        <v>21</v>
      </c>
      <c r="D11" s="19"/>
      <c r="E11" s="18" t="s">
        <v>766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index!$C$2:$C$50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38"/>
  <sheetViews>
    <sheetView tabSelected="1" workbookViewId="0">
      <selection activeCell="A23" sqref="A23"/>
    </sheetView>
  </sheetViews>
  <sheetFormatPr defaultRowHeight="15.75" x14ac:dyDescent="0.25"/>
  <cols>
    <col min="1" max="1" width="46.140625" customWidth="1"/>
    <col min="2" max="2" width="52" style="6" customWidth="1"/>
    <col min="3" max="3" width="25.28515625" customWidth="1"/>
    <col min="4" max="4" width="14.28515625" customWidth="1"/>
    <col min="5" max="5" width="20.710937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790</v>
      </c>
      <c r="B2" s="6" t="s">
        <v>791</v>
      </c>
      <c r="C2" t="s">
        <v>792</v>
      </c>
      <c r="D2" t="s">
        <v>256</v>
      </c>
      <c r="E2" t="s">
        <v>793</v>
      </c>
      <c r="F2" t="s">
        <v>40</v>
      </c>
      <c r="G2">
        <v>40000</v>
      </c>
      <c r="H2">
        <v>100000</v>
      </c>
      <c r="I2">
        <v>70000</v>
      </c>
      <c r="J2" t="s">
        <v>4</v>
      </c>
      <c r="K2" t="s">
        <v>257</v>
      </c>
    </row>
    <row r="3" spans="1:11" x14ac:dyDescent="0.25">
      <c r="A3" t="s">
        <v>775</v>
      </c>
      <c r="B3" s="6" t="s">
        <v>868</v>
      </c>
      <c r="C3" t="s">
        <v>776</v>
      </c>
      <c r="D3" t="s">
        <v>82</v>
      </c>
      <c r="E3" t="s">
        <v>365</v>
      </c>
      <c r="F3" t="s">
        <v>40</v>
      </c>
      <c r="G3">
        <v>40000</v>
      </c>
      <c r="H3">
        <v>60000</v>
      </c>
      <c r="I3">
        <v>50000</v>
      </c>
      <c r="J3" t="s">
        <v>4</v>
      </c>
      <c r="K3" t="s">
        <v>83</v>
      </c>
    </row>
    <row r="4" spans="1:11" x14ac:dyDescent="0.25">
      <c r="A4" t="s">
        <v>794</v>
      </c>
      <c r="B4" s="6" t="s">
        <v>795</v>
      </c>
      <c r="C4" t="s">
        <v>774</v>
      </c>
      <c r="D4" t="s">
        <v>59</v>
      </c>
      <c r="E4" t="s">
        <v>136</v>
      </c>
      <c r="F4" t="s">
        <v>40</v>
      </c>
      <c r="G4">
        <v>40000</v>
      </c>
      <c r="H4">
        <v>55000</v>
      </c>
      <c r="I4">
        <v>47500</v>
      </c>
      <c r="J4" t="s">
        <v>6</v>
      </c>
      <c r="K4" t="s">
        <v>60</v>
      </c>
    </row>
    <row r="5" spans="1:11" x14ac:dyDescent="0.25">
      <c r="A5" t="s">
        <v>829</v>
      </c>
      <c r="B5" s="6" t="s">
        <v>830</v>
      </c>
      <c r="C5" t="s">
        <v>803</v>
      </c>
      <c r="D5" t="s">
        <v>82</v>
      </c>
      <c r="E5" t="s">
        <v>831</v>
      </c>
      <c r="F5" t="s">
        <v>40</v>
      </c>
      <c r="G5">
        <v>38000</v>
      </c>
      <c r="H5">
        <v>52000</v>
      </c>
      <c r="I5">
        <v>45000</v>
      </c>
      <c r="J5" t="s">
        <v>4</v>
      </c>
      <c r="K5" t="s">
        <v>83</v>
      </c>
    </row>
    <row r="6" spans="1:11" x14ac:dyDescent="0.25">
      <c r="A6" t="s">
        <v>834</v>
      </c>
      <c r="B6" s="6" t="s">
        <v>835</v>
      </c>
      <c r="C6" t="s">
        <v>803</v>
      </c>
      <c r="D6" t="s">
        <v>70</v>
      </c>
      <c r="E6" t="s">
        <v>836</v>
      </c>
      <c r="F6" t="s">
        <v>40</v>
      </c>
      <c r="G6">
        <v>40000</v>
      </c>
      <c r="H6">
        <v>42000</v>
      </c>
      <c r="I6">
        <v>41000</v>
      </c>
      <c r="J6" t="s">
        <v>6</v>
      </c>
      <c r="K6" t="s">
        <v>71</v>
      </c>
    </row>
    <row r="7" spans="1:11" x14ac:dyDescent="0.25">
      <c r="A7" t="s">
        <v>801</v>
      </c>
      <c r="B7" s="6" t="s">
        <v>802</v>
      </c>
      <c r="C7" t="s">
        <v>803</v>
      </c>
      <c r="D7" t="s">
        <v>82</v>
      </c>
      <c r="E7" t="s">
        <v>762</v>
      </c>
      <c r="F7" t="s">
        <v>40</v>
      </c>
      <c r="G7">
        <v>38000</v>
      </c>
      <c r="H7">
        <v>43000</v>
      </c>
      <c r="I7">
        <v>40500</v>
      </c>
      <c r="J7" t="s">
        <v>4</v>
      </c>
      <c r="K7" t="s">
        <v>83</v>
      </c>
    </row>
    <row r="8" spans="1:11" x14ac:dyDescent="0.25">
      <c r="A8" t="s">
        <v>849</v>
      </c>
      <c r="B8" s="6" t="s">
        <v>850</v>
      </c>
      <c r="C8" t="s">
        <v>803</v>
      </c>
      <c r="D8" t="s">
        <v>82</v>
      </c>
      <c r="E8" t="s">
        <v>146</v>
      </c>
      <c r="F8" t="s">
        <v>40</v>
      </c>
      <c r="G8">
        <v>38000</v>
      </c>
      <c r="H8">
        <v>42000</v>
      </c>
      <c r="I8">
        <v>40000</v>
      </c>
      <c r="J8" t="s">
        <v>4</v>
      </c>
      <c r="K8" t="s">
        <v>83</v>
      </c>
    </row>
    <row r="9" spans="1:11" x14ac:dyDescent="0.25">
      <c r="A9" t="s">
        <v>806</v>
      </c>
      <c r="B9" s="6" t="s">
        <v>807</v>
      </c>
      <c r="C9" t="s">
        <v>803</v>
      </c>
      <c r="D9" t="s">
        <v>68</v>
      </c>
      <c r="E9" t="s">
        <v>169</v>
      </c>
      <c r="F9" t="s">
        <v>40</v>
      </c>
      <c r="G9">
        <v>35000</v>
      </c>
      <c r="H9">
        <v>42000</v>
      </c>
      <c r="I9">
        <v>38500</v>
      </c>
      <c r="J9" t="s">
        <v>4</v>
      </c>
      <c r="K9" t="s">
        <v>69</v>
      </c>
    </row>
    <row r="10" spans="1:11" x14ac:dyDescent="0.25">
      <c r="A10" t="s">
        <v>772</v>
      </c>
      <c r="B10" s="6" t="s">
        <v>773</v>
      </c>
      <c r="C10" t="s">
        <v>774</v>
      </c>
      <c r="D10" t="s">
        <v>59</v>
      </c>
      <c r="E10" t="s">
        <v>67</v>
      </c>
      <c r="F10" t="s">
        <v>40</v>
      </c>
      <c r="G10">
        <v>30000</v>
      </c>
      <c r="H10">
        <v>45000</v>
      </c>
      <c r="I10">
        <v>37500</v>
      </c>
      <c r="J10" t="s">
        <v>6</v>
      </c>
      <c r="K10" t="s">
        <v>60</v>
      </c>
    </row>
    <row r="11" spans="1:11" x14ac:dyDescent="0.25">
      <c r="A11" t="s">
        <v>784</v>
      </c>
      <c r="B11" s="6" t="s">
        <v>785</v>
      </c>
      <c r="C11" t="s">
        <v>783</v>
      </c>
      <c r="D11" t="s">
        <v>212</v>
      </c>
      <c r="E11" t="s">
        <v>786</v>
      </c>
      <c r="F11" t="s">
        <v>40</v>
      </c>
      <c r="G11">
        <v>37500</v>
      </c>
      <c r="H11">
        <v>37500</v>
      </c>
      <c r="I11">
        <v>37500</v>
      </c>
      <c r="J11" t="s">
        <v>6</v>
      </c>
      <c r="K11" t="s">
        <v>214</v>
      </c>
    </row>
    <row r="12" spans="1:11" x14ac:dyDescent="0.25">
      <c r="A12" t="s">
        <v>787</v>
      </c>
      <c r="B12" s="6" t="s">
        <v>788</v>
      </c>
      <c r="C12" t="s">
        <v>789</v>
      </c>
      <c r="D12" t="s">
        <v>55</v>
      </c>
      <c r="E12" t="s">
        <v>61</v>
      </c>
      <c r="F12" t="s">
        <v>40</v>
      </c>
      <c r="G12">
        <v>35000</v>
      </c>
      <c r="H12">
        <v>40000</v>
      </c>
      <c r="I12">
        <v>37500</v>
      </c>
      <c r="J12" t="s">
        <v>4</v>
      </c>
      <c r="K12" t="s">
        <v>56</v>
      </c>
    </row>
    <row r="13" spans="1:11" x14ac:dyDescent="0.25">
      <c r="A13" t="s">
        <v>804</v>
      </c>
      <c r="B13" s="6" t="s">
        <v>805</v>
      </c>
      <c r="C13" t="s">
        <v>803</v>
      </c>
      <c r="D13" t="s">
        <v>57</v>
      </c>
      <c r="E13" t="s">
        <v>61</v>
      </c>
      <c r="F13" t="s">
        <v>40</v>
      </c>
      <c r="G13">
        <v>35000</v>
      </c>
      <c r="H13">
        <v>40000</v>
      </c>
      <c r="I13">
        <v>37500</v>
      </c>
      <c r="J13" t="s">
        <v>6</v>
      </c>
      <c r="K13" t="s">
        <v>58</v>
      </c>
    </row>
    <row r="14" spans="1:11" x14ac:dyDescent="0.25">
      <c r="A14" t="s">
        <v>847</v>
      </c>
      <c r="B14" s="6" t="s">
        <v>848</v>
      </c>
      <c r="C14" t="s">
        <v>803</v>
      </c>
      <c r="D14" t="s">
        <v>82</v>
      </c>
      <c r="E14" t="s">
        <v>224</v>
      </c>
      <c r="F14" t="s">
        <v>40</v>
      </c>
      <c r="G14">
        <v>36000</v>
      </c>
      <c r="H14">
        <v>38000</v>
      </c>
      <c r="I14">
        <v>37000</v>
      </c>
      <c r="J14" t="s">
        <v>4</v>
      </c>
      <c r="K14" t="s">
        <v>83</v>
      </c>
    </row>
    <row r="15" spans="1:11" x14ac:dyDescent="0.25">
      <c r="A15" t="s">
        <v>815</v>
      </c>
      <c r="B15" s="6" t="s">
        <v>816</v>
      </c>
      <c r="C15" t="s">
        <v>803</v>
      </c>
      <c r="D15" t="s">
        <v>70</v>
      </c>
      <c r="E15" t="s">
        <v>817</v>
      </c>
      <c r="F15" t="s">
        <v>40</v>
      </c>
      <c r="G15">
        <v>32000</v>
      </c>
      <c r="H15">
        <v>37000</v>
      </c>
      <c r="I15">
        <v>34500</v>
      </c>
      <c r="J15" t="s">
        <v>6</v>
      </c>
      <c r="K15" t="s">
        <v>71</v>
      </c>
    </row>
    <row r="16" spans="1:11" x14ac:dyDescent="0.25">
      <c r="A16" t="s">
        <v>855</v>
      </c>
      <c r="B16" s="6" t="s">
        <v>856</v>
      </c>
      <c r="C16" t="s">
        <v>803</v>
      </c>
      <c r="D16" t="s">
        <v>82</v>
      </c>
      <c r="E16" t="s">
        <v>857</v>
      </c>
      <c r="F16" t="s">
        <v>40</v>
      </c>
      <c r="G16">
        <v>33000</v>
      </c>
      <c r="H16">
        <v>36000</v>
      </c>
      <c r="I16">
        <v>34500</v>
      </c>
      <c r="J16" t="s">
        <v>4</v>
      </c>
      <c r="K16" t="s">
        <v>83</v>
      </c>
    </row>
    <row r="17" spans="1:11" x14ac:dyDescent="0.25">
      <c r="A17" t="s">
        <v>861</v>
      </c>
      <c r="B17" s="6" t="s">
        <v>862</v>
      </c>
      <c r="C17" t="s">
        <v>803</v>
      </c>
      <c r="D17" t="s">
        <v>70</v>
      </c>
      <c r="E17" t="s">
        <v>817</v>
      </c>
      <c r="F17" t="s">
        <v>40</v>
      </c>
      <c r="G17">
        <v>32000</v>
      </c>
      <c r="H17">
        <v>37000</v>
      </c>
      <c r="I17">
        <v>34500</v>
      </c>
      <c r="J17" t="s">
        <v>6</v>
      </c>
      <c r="K17" t="s">
        <v>71</v>
      </c>
    </row>
    <row r="18" spans="1:11" x14ac:dyDescent="0.25">
      <c r="A18" t="s">
        <v>863</v>
      </c>
      <c r="B18" s="6" t="s">
        <v>864</v>
      </c>
      <c r="C18" t="s">
        <v>803</v>
      </c>
      <c r="D18" t="s">
        <v>82</v>
      </c>
      <c r="E18" t="s">
        <v>857</v>
      </c>
      <c r="F18" t="s">
        <v>40</v>
      </c>
      <c r="G18">
        <v>33000</v>
      </c>
      <c r="H18">
        <v>36000</v>
      </c>
      <c r="I18">
        <v>34500</v>
      </c>
      <c r="J18" t="s">
        <v>4</v>
      </c>
      <c r="K18" t="s">
        <v>83</v>
      </c>
    </row>
    <row r="19" spans="1:11" x14ac:dyDescent="0.25">
      <c r="A19" t="s">
        <v>818</v>
      </c>
      <c r="B19" s="6" t="s">
        <v>819</v>
      </c>
      <c r="C19" t="s">
        <v>803</v>
      </c>
      <c r="D19" t="s">
        <v>68</v>
      </c>
      <c r="E19" t="s">
        <v>820</v>
      </c>
      <c r="F19" t="s">
        <v>40</v>
      </c>
      <c r="G19">
        <v>32000</v>
      </c>
      <c r="H19">
        <v>36000</v>
      </c>
      <c r="I19">
        <v>34000</v>
      </c>
      <c r="J19" t="s">
        <v>4</v>
      </c>
      <c r="K19" t="s">
        <v>69</v>
      </c>
    </row>
    <row r="20" spans="1:11" x14ac:dyDescent="0.25">
      <c r="A20" t="s">
        <v>865</v>
      </c>
      <c r="B20" s="6" t="s">
        <v>866</v>
      </c>
      <c r="C20" t="s">
        <v>853</v>
      </c>
      <c r="D20" t="s">
        <v>57</v>
      </c>
      <c r="E20" t="s">
        <v>867</v>
      </c>
      <c r="F20" t="s">
        <v>40</v>
      </c>
      <c r="G20">
        <v>31000</v>
      </c>
      <c r="H20">
        <v>36500</v>
      </c>
      <c r="I20">
        <v>33750</v>
      </c>
      <c r="J20" t="s">
        <v>6</v>
      </c>
      <c r="K20" t="s">
        <v>58</v>
      </c>
    </row>
    <row r="21" spans="1:11" x14ac:dyDescent="0.25">
      <c r="A21" t="s">
        <v>808</v>
      </c>
      <c r="B21" s="6" t="s">
        <v>809</v>
      </c>
      <c r="C21" t="s">
        <v>803</v>
      </c>
      <c r="D21" t="s">
        <v>68</v>
      </c>
      <c r="E21" t="s">
        <v>810</v>
      </c>
      <c r="F21" t="s">
        <v>40</v>
      </c>
      <c r="G21">
        <v>32000</v>
      </c>
      <c r="H21">
        <v>34000</v>
      </c>
      <c r="I21">
        <v>33000</v>
      </c>
      <c r="J21" t="s">
        <v>4</v>
      </c>
      <c r="K21" t="s">
        <v>69</v>
      </c>
    </row>
    <row r="22" spans="1:11" x14ac:dyDescent="0.25">
      <c r="A22" t="s">
        <v>777</v>
      </c>
      <c r="B22" s="6" t="s">
        <v>778</v>
      </c>
      <c r="C22" t="s">
        <v>779</v>
      </c>
      <c r="D22" t="s">
        <v>68</v>
      </c>
      <c r="E22" t="s">
        <v>780</v>
      </c>
      <c r="F22" t="s">
        <v>40</v>
      </c>
      <c r="G22">
        <v>32000</v>
      </c>
      <c r="H22">
        <v>32000</v>
      </c>
      <c r="I22">
        <v>32000</v>
      </c>
      <c r="J22" t="s">
        <v>4</v>
      </c>
      <c r="K22" t="s">
        <v>69</v>
      </c>
    </row>
    <row r="23" spans="1:11" x14ac:dyDescent="0.25">
      <c r="A23" t="s">
        <v>858</v>
      </c>
      <c r="B23" s="6" t="s">
        <v>859</v>
      </c>
      <c r="C23" t="s">
        <v>853</v>
      </c>
      <c r="D23" t="s">
        <v>57</v>
      </c>
      <c r="E23" t="s">
        <v>860</v>
      </c>
      <c r="F23" t="s">
        <v>40</v>
      </c>
      <c r="G23">
        <v>30500</v>
      </c>
      <c r="H23">
        <v>31000</v>
      </c>
      <c r="I23">
        <v>30750</v>
      </c>
      <c r="J23" t="s">
        <v>6</v>
      </c>
      <c r="K23" t="s">
        <v>58</v>
      </c>
    </row>
    <row r="24" spans="1:11" x14ac:dyDescent="0.25">
      <c r="A24" t="s">
        <v>851</v>
      </c>
      <c r="B24" s="6" t="s">
        <v>852</v>
      </c>
      <c r="C24" t="s">
        <v>853</v>
      </c>
      <c r="D24" t="s">
        <v>57</v>
      </c>
      <c r="E24" t="s">
        <v>854</v>
      </c>
      <c r="F24" t="s">
        <v>40</v>
      </c>
      <c r="G24">
        <v>29500</v>
      </c>
      <c r="H24">
        <v>30500</v>
      </c>
      <c r="I24">
        <v>30000</v>
      </c>
      <c r="J24" t="s">
        <v>6</v>
      </c>
      <c r="K24" t="s">
        <v>58</v>
      </c>
    </row>
    <row r="25" spans="1:11" x14ac:dyDescent="0.25">
      <c r="A25" t="s">
        <v>799</v>
      </c>
      <c r="B25" s="6" t="s">
        <v>800</v>
      </c>
      <c r="C25" t="s">
        <v>774</v>
      </c>
      <c r="D25" t="s">
        <v>59</v>
      </c>
      <c r="E25" t="s">
        <v>485</v>
      </c>
      <c r="F25" t="s">
        <v>40</v>
      </c>
      <c r="G25">
        <v>28590</v>
      </c>
      <c r="H25">
        <v>30000</v>
      </c>
      <c r="I25">
        <v>29295</v>
      </c>
      <c r="J25" t="s">
        <v>6</v>
      </c>
      <c r="K25" t="s">
        <v>60</v>
      </c>
    </row>
    <row r="26" spans="1:11" x14ac:dyDescent="0.25">
      <c r="A26" t="s">
        <v>796</v>
      </c>
      <c r="B26" s="6" t="s">
        <v>797</v>
      </c>
      <c r="C26" t="s">
        <v>774</v>
      </c>
      <c r="D26" t="s">
        <v>59</v>
      </c>
      <c r="E26" t="s">
        <v>798</v>
      </c>
      <c r="F26" t="s">
        <v>40</v>
      </c>
      <c r="G26">
        <v>28590</v>
      </c>
      <c r="H26">
        <v>28590</v>
      </c>
      <c r="I26">
        <v>28590</v>
      </c>
      <c r="J26" t="s">
        <v>6</v>
      </c>
      <c r="K26" t="s">
        <v>60</v>
      </c>
    </row>
    <row r="27" spans="1:11" x14ac:dyDescent="0.25">
      <c r="A27" t="s">
        <v>811</v>
      </c>
      <c r="B27" s="6" t="s">
        <v>812</v>
      </c>
      <c r="C27" t="s">
        <v>803</v>
      </c>
      <c r="D27" t="s">
        <v>82</v>
      </c>
      <c r="E27" t="s">
        <v>813</v>
      </c>
      <c r="F27" t="s">
        <v>814</v>
      </c>
      <c r="G27">
        <v>200</v>
      </c>
      <c r="H27">
        <v>250</v>
      </c>
      <c r="I27">
        <v>225</v>
      </c>
      <c r="J27" t="s">
        <v>4</v>
      </c>
      <c r="K27" t="s">
        <v>83</v>
      </c>
    </row>
    <row r="28" spans="1:11" x14ac:dyDescent="0.25">
      <c r="A28" t="s">
        <v>840</v>
      </c>
      <c r="B28" s="6" t="s">
        <v>841</v>
      </c>
      <c r="C28" t="s">
        <v>803</v>
      </c>
      <c r="D28" t="s">
        <v>82</v>
      </c>
      <c r="E28" t="s">
        <v>842</v>
      </c>
      <c r="F28" t="s">
        <v>814</v>
      </c>
      <c r="G28">
        <v>200</v>
      </c>
      <c r="H28">
        <v>220</v>
      </c>
      <c r="I28">
        <v>210</v>
      </c>
      <c r="J28" t="s">
        <v>4</v>
      </c>
      <c r="K28" t="s">
        <v>83</v>
      </c>
    </row>
    <row r="29" spans="1:11" x14ac:dyDescent="0.25">
      <c r="A29" t="s">
        <v>824</v>
      </c>
      <c r="B29" s="6" t="s">
        <v>825</v>
      </c>
      <c r="C29" t="s">
        <v>803</v>
      </c>
      <c r="D29" t="s">
        <v>68</v>
      </c>
      <c r="E29" t="s">
        <v>826</v>
      </c>
      <c r="F29" t="s">
        <v>814</v>
      </c>
      <c r="G29">
        <v>190</v>
      </c>
      <c r="H29">
        <v>220</v>
      </c>
      <c r="I29">
        <v>205</v>
      </c>
      <c r="J29" t="s">
        <v>4</v>
      </c>
      <c r="K29" t="s">
        <v>69</v>
      </c>
    </row>
    <row r="30" spans="1:11" x14ac:dyDescent="0.25">
      <c r="A30" t="s">
        <v>821</v>
      </c>
      <c r="B30" s="6" t="s">
        <v>822</v>
      </c>
      <c r="C30" t="s">
        <v>803</v>
      </c>
      <c r="D30" t="s">
        <v>82</v>
      </c>
      <c r="E30" t="s">
        <v>823</v>
      </c>
      <c r="F30" t="s">
        <v>814</v>
      </c>
      <c r="G30">
        <v>190</v>
      </c>
      <c r="H30">
        <v>200</v>
      </c>
      <c r="I30">
        <v>195</v>
      </c>
      <c r="J30" t="s">
        <v>4</v>
      </c>
      <c r="K30" t="s">
        <v>83</v>
      </c>
    </row>
    <row r="31" spans="1:11" x14ac:dyDescent="0.25">
      <c r="A31" t="s">
        <v>827</v>
      </c>
      <c r="B31" s="6" t="s">
        <v>828</v>
      </c>
      <c r="C31" t="s">
        <v>803</v>
      </c>
      <c r="D31" t="s">
        <v>82</v>
      </c>
      <c r="E31" t="s">
        <v>823</v>
      </c>
      <c r="F31" t="s">
        <v>814</v>
      </c>
      <c r="G31">
        <v>190</v>
      </c>
      <c r="H31">
        <v>200</v>
      </c>
      <c r="I31">
        <v>195</v>
      </c>
      <c r="J31" t="s">
        <v>4</v>
      </c>
      <c r="K31" t="s">
        <v>83</v>
      </c>
    </row>
    <row r="32" spans="1:11" x14ac:dyDescent="0.25">
      <c r="A32" t="s">
        <v>832</v>
      </c>
      <c r="B32" s="6" t="s">
        <v>833</v>
      </c>
      <c r="C32" t="s">
        <v>803</v>
      </c>
      <c r="D32" t="s">
        <v>82</v>
      </c>
      <c r="E32" t="s">
        <v>823</v>
      </c>
      <c r="F32" t="s">
        <v>814</v>
      </c>
      <c r="G32">
        <v>190</v>
      </c>
      <c r="H32">
        <v>200</v>
      </c>
      <c r="I32">
        <v>195</v>
      </c>
      <c r="J32" t="s">
        <v>4</v>
      </c>
      <c r="K32" t="s">
        <v>83</v>
      </c>
    </row>
    <row r="33" spans="1:11" x14ac:dyDescent="0.25">
      <c r="A33" t="s">
        <v>843</v>
      </c>
      <c r="B33" s="6" t="s">
        <v>844</v>
      </c>
      <c r="C33" t="s">
        <v>803</v>
      </c>
      <c r="D33" t="s">
        <v>70</v>
      </c>
      <c r="E33" t="s">
        <v>823</v>
      </c>
      <c r="F33" t="s">
        <v>814</v>
      </c>
      <c r="G33">
        <v>190</v>
      </c>
      <c r="H33">
        <v>200</v>
      </c>
      <c r="I33">
        <v>195</v>
      </c>
      <c r="J33" t="s">
        <v>6</v>
      </c>
      <c r="K33" t="s">
        <v>71</v>
      </c>
    </row>
    <row r="34" spans="1:11" x14ac:dyDescent="0.25">
      <c r="A34" t="s">
        <v>845</v>
      </c>
      <c r="B34" s="6" t="s">
        <v>846</v>
      </c>
      <c r="C34" t="s">
        <v>803</v>
      </c>
      <c r="D34" t="s">
        <v>50</v>
      </c>
      <c r="E34" t="s">
        <v>823</v>
      </c>
      <c r="F34" t="s">
        <v>814</v>
      </c>
      <c r="G34">
        <v>190</v>
      </c>
      <c r="H34">
        <v>200</v>
      </c>
      <c r="I34">
        <v>195</v>
      </c>
      <c r="J34" t="s">
        <v>4</v>
      </c>
      <c r="K34" t="s">
        <v>51</v>
      </c>
    </row>
    <row r="35" spans="1:11" x14ac:dyDescent="0.25">
      <c r="A35" t="s">
        <v>837</v>
      </c>
      <c r="B35" s="6" t="s">
        <v>838</v>
      </c>
      <c r="C35" t="s">
        <v>803</v>
      </c>
      <c r="D35" t="s">
        <v>82</v>
      </c>
      <c r="E35" t="s">
        <v>839</v>
      </c>
      <c r="F35" t="s">
        <v>814</v>
      </c>
      <c r="G35">
        <v>190</v>
      </c>
      <c r="H35">
        <v>190</v>
      </c>
      <c r="I35">
        <v>190</v>
      </c>
      <c r="J35" t="s">
        <v>4</v>
      </c>
      <c r="K35" t="s">
        <v>83</v>
      </c>
    </row>
    <row r="36" spans="1:11" x14ac:dyDescent="0.25">
      <c r="A36" t="s">
        <v>768</v>
      </c>
      <c r="B36" s="6" t="s">
        <v>769</v>
      </c>
      <c r="C36" t="s">
        <v>763</v>
      </c>
      <c r="D36" t="s">
        <v>57</v>
      </c>
      <c r="E36" t="s">
        <v>37</v>
      </c>
      <c r="F36" t="s">
        <v>38</v>
      </c>
      <c r="J36" t="s">
        <v>6</v>
      </c>
      <c r="K36" t="s">
        <v>58</v>
      </c>
    </row>
    <row r="37" spans="1:11" x14ac:dyDescent="0.25">
      <c r="A37" t="s">
        <v>770</v>
      </c>
      <c r="B37" s="6" t="s">
        <v>771</v>
      </c>
      <c r="C37" t="s">
        <v>763</v>
      </c>
      <c r="D37" t="s">
        <v>57</v>
      </c>
      <c r="E37" t="s">
        <v>37</v>
      </c>
      <c r="F37" t="s">
        <v>38</v>
      </c>
      <c r="J37" t="s">
        <v>6</v>
      </c>
      <c r="K37" t="s">
        <v>58</v>
      </c>
    </row>
    <row r="38" spans="1:11" x14ac:dyDescent="0.25">
      <c r="A38" t="s">
        <v>781</v>
      </c>
      <c r="B38" s="6" t="s">
        <v>782</v>
      </c>
      <c r="C38" t="s">
        <v>783</v>
      </c>
      <c r="D38" t="s">
        <v>212</v>
      </c>
      <c r="E38" t="s">
        <v>37</v>
      </c>
      <c r="F38" t="s">
        <v>38</v>
      </c>
      <c r="J38" t="s">
        <v>6</v>
      </c>
      <c r="K38" t="s">
        <v>214</v>
      </c>
    </row>
  </sheetData>
  <autoFilter ref="A1:K82" xr:uid="{B25B5C98-F403-41C5-B3E1-CFF4CD5B8135}"/>
  <sortState xmlns:xlrd2="http://schemas.microsoft.com/office/spreadsheetml/2017/richdata2" ref="A2:K82">
    <sortCondition descending="1" ref="I2:I82"/>
  </sortState>
  <phoneticPr fontId="1" type="noConversion"/>
  <hyperlinks>
    <hyperlink ref="B3" r:id="rId1" xr:uid="{F8C15E67-E209-48E4-9484-A0549768A2C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workbookViewId="0">
      <selection activeCell="G10" sqref="G10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717</v>
      </c>
      <c r="B1" s="23" t="s">
        <v>719</v>
      </c>
    </row>
    <row r="2" spans="1:8" x14ac:dyDescent="0.25">
      <c r="A2" t="s">
        <v>718</v>
      </c>
      <c r="B2" t="s">
        <v>720</v>
      </c>
    </row>
    <row r="3" spans="1:8" x14ac:dyDescent="0.25">
      <c r="D3" s="25" t="s">
        <v>721</v>
      </c>
      <c r="H3" s="24" t="s">
        <v>761</v>
      </c>
    </row>
    <row r="4" spans="1:8" x14ac:dyDescent="0.25">
      <c r="A4" s="9" t="s">
        <v>17</v>
      </c>
      <c r="B4" s="6"/>
      <c r="D4" t="s">
        <v>723</v>
      </c>
    </row>
    <row r="5" spans="1:8" ht="16.5" x14ac:dyDescent="0.25">
      <c r="A5" s="7" t="s">
        <v>23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19</v>
      </c>
      <c r="D6" s="8" t="s">
        <v>2</v>
      </c>
      <c r="E6" s="10" t="s">
        <v>20</v>
      </c>
    </row>
    <row r="7" spans="1:8" x14ac:dyDescent="0.25">
      <c r="A7" s="13" t="s">
        <v>722</v>
      </c>
      <c r="B7" s="14" t="s">
        <v>4</v>
      </c>
      <c r="C7" s="12" t="str">
        <f>_xlfn.IFNA(VLOOKUP(B7,index!A:B,2,FALSE),"")</f>
        <v>6001001000</v>
      </c>
      <c r="D7" s="15" t="s">
        <v>9</v>
      </c>
      <c r="E7" s="12" t="str">
        <f>_xlfn.IFNA(VLOOKUP(D7,index!C:D,2,FALSE),"")</f>
        <v>2009001001</v>
      </c>
    </row>
    <row r="8" spans="1:8" x14ac:dyDescent="0.25">
      <c r="A8" s="13"/>
      <c r="B8" s="14" t="s">
        <v>6</v>
      </c>
      <c r="C8" s="12" t="str">
        <f>_xlfn.IFNA(VLOOKUP(B8,index!A:B,2,FALSE),"")</f>
        <v>6001002000</v>
      </c>
      <c r="D8" s="15" t="s">
        <v>715</v>
      </c>
      <c r="E8" s="12" t="str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714</v>
      </c>
      <c r="E9" s="12" t="str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 t="str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 t="str">
        <f>_xlfn.IFNA(VLOOKUP(D11,index!C:D,2,FALSE),"")</f>
        <v>2009001004</v>
      </c>
    </row>
    <row r="12" spans="1:8" x14ac:dyDescent="0.25">
      <c r="A12" s="17" t="s">
        <v>722</v>
      </c>
      <c r="B12" s="18"/>
      <c r="C12" s="18" t="s">
        <v>21</v>
      </c>
      <c r="D12" s="19"/>
      <c r="E12" s="18" t="s">
        <v>716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crape_resum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>
      <selection activeCell="F17" sqref="F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G23" sqref="G23"/>
    </sheetView>
  </sheetViews>
  <sheetFormatPr defaultRowHeight="15.75" x14ac:dyDescent="0.25"/>
  <sheetData>
    <row r="1" spans="1:1" x14ac:dyDescent="0.25">
      <c r="A1" s="6" t="s">
        <v>764</v>
      </c>
    </row>
    <row r="3" spans="1:1" x14ac:dyDescent="0.25">
      <c r="A3" s="6"/>
    </row>
  </sheetData>
  <phoneticPr fontId="1" type="noConversion"/>
  <hyperlinks>
    <hyperlink ref="A1" r:id="rId1" display="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" xr:uid="{CAAE9F84-5F3F-4BAD-A7CF-73509EDAD5B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53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2025-05-20T06:21:44Z</dcterms:modified>
</cp:coreProperties>
</file>